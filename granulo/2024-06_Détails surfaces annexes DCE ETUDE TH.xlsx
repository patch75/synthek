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W:\2024\2024-06_SAFILAF_LUMBIN_Secteur Nord Pouliot\1_SOURCE\5_SURFACES\"/>
    </mc:Choice>
  </mc:AlternateContent>
  <xr:revisionPtr revIDLastSave="0" documentId="13_ncr:1_{5F392D1A-9E38-4401-A04C-DAD068856F52}" xr6:coauthVersionLast="47" xr6:coauthVersionMax="47" xr10:uidLastSave="{00000000-0000-0000-0000-000000000000}"/>
  <bookViews>
    <workbookView xWindow="6315" yWindow="2565" windowWidth="29235" windowHeight="17325" xr2:uid="{00000000-000D-0000-FFFF-FFFF00000000}"/>
  </bookViews>
  <sheets>
    <sheet name="Surfaces par logement" sheetId="1" r:id="rId1"/>
  </sheets>
  <definedNames>
    <definedName name="_xlnm.Print_Area" localSheetId="0">'Surfaces par logement'!$A$1:$AE$84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4" i="1" l="1"/>
  <c r="V54" i="1"/>
  <c r="U54" i="1"/>
  <c r="T54" i="1"/>
  <c r="W49" i="1"/>
  <c r="V49" i="1"/>
  <c r="U49" i="1"/>
  <c r="T49" i="1"/>
  <c r="R54" i="1"/>
  <c r="P54" i="1"/>
  <c r="O54" i="1"/>
  <c r="N54" i="1"/>
  <c r="M54" i="1"/>
  <c r="L54" i="1"/>
  <c r="K54" i="1"/>
  <c r="I54" i="1"/>
  <c r="H54" i="1"/>
  <c r="G54" i="1"/>
  <c r="F54" i="1"/>
  <c r="E54" i="1"/>
  <c r="D54" i="1"/>
  <c r="C54" i="1"/>
  <c r="Q53" i="1"/>
  <c r="Q54" i="1" s="1"/>
  <c r="I53" i="1"/>
  <c r="R49" i="1"/>
  <c r="Q49" i="1"/>
  <c r="P49" i="1"/>
  <c r="O49" i="1"/>
  <c r="M49" i="1"/>
  <c r="L49" i="1"/>
  <c r="K49" i="1"/>
  <c r="H49" i="1"/>
  <c r="G49" i="1"/>
  <c r="F49" i="1"/>
  <c r="E49" i="1"/>
  <c r="D49" i="1"/>
  <c r="C49" i="1"/>
  <c r="N46" i="1"/>
  <c r="N49" i="1" s="1"/>
  <c r="I44" i="1"/>
  <c r="I49" i="1" s="1"/>
  <c r="F72" i="1"/>
  <c r="F78" i="1"/>
  <c r="F82" i="1" s="1"/>
  <c r="F73" i="1"/>
  <c r="E73" i="1"/>
  <c r="E76" i="1" s="1"/>
  <c r="D73" i="1"/>
  <c r="D76" i="1" s="1"/>
  <c r="C73" i="1"/>
  <c r="C76" i="1" s="1"/>
  <c r="E82" i="1"/>
  <c r="D82" i="1"/>
  <c r="C82" i="1"/>
  <c r="AD18" i="1"/>
  <c r="AD12" i="1"/>
  <c r="AE26" i="1"/>
  <c r="AD26" i="1"/>
  <c r="AC26" i="1"/>
  <c r="AB26" i="1"/>
  <c r="AA26" i="1"/>
  <c r="Z26" i="1"/>
  <c r="Y26" i="1"/>
  <c r="X26" i="1"/>
  <c r="AE21" i="1"/>
  <c r="AC21" i="1"/>
  <c r="AB21" i="1"/>
  <c r="AA21" i="1"/>
  <c r="Z21" i="1"/>
  <c r="Y21" i="1"/>
  <c r="X21" i="1"/>
  <c r="V26" i="1"/>
  <c r="U26" i="1"/>
  <c r="T26" i="1"/>
  <c r="S26" i="1"/>
  <c r="R26" i="1"/>
  <c r="Q26" i="1"/>
  <c r="P26" i="1"/>
  <c r="O26" i="1"/>
  <c r="G26" i="1"/>
  <c r="V21" i="1"/>
  <c r="U21" i="1"/>
  <c r="T21" i="1"/>
  <c r="S21" i="1"/>
  <c r="R21" i="1"/>
  <c r="Q21" i="1"/>
  <c r="P21" i="1"/>
  <c r="O21" i="1"/>
  <c r="M26" i="1"/>
  <c r="L26" i="1"/>
  <c r="K26" i="1"/>
  <c r="J26" i="1"/>
  <c r="I26" i="1"/>
  <c r="H26" i="1"/>
  <c r="F26" i="1"/>
  <c r="F21" i="1"/>
  <c r="M21" i="1"/>
  <c r="L21" i="1"/>
  <c r="K21" i="1"/>
  <c r="J21" i="1"/>
  <c r="I21" i="1"/>
  <c r="H21" i="1"/>
  <c r="G21" i="1"/>
  <c r="D25" i="1"/>
  <c r="D26" i="1" s="1"/>
  <c r="D21" i="1"/>
  <c r="C22" i="1"/>
  <c r="C23" i="1"/>
  <c r="C25" i="1"/>
  <c r="C16" i="1"/>
  <c r="C21" i="1" s="1"/>
  <c r="F76" i="1" l="1"/>
  <c r="AD21" i="1"/>
  <c r="C26" i="1"/>
</calcChain>
</file>

<file path=xl/sharedStrings.xml><?xml version="1.0" encoding="utf-8"?>
<sst xmlns="http://schemas.openxmlformats.org/spreadsheetml/2006/main" count="200" uniqueCount="66">
  <si>
    <t>BATIMENT</t>
  </si>
  <si>
    <t>A1</t>
  </si>
  <si>
    <t xml:space="preserve">A2 </t>
  </si>
  <si>
    <t>NIVEAU</t>
  </si>
  <si>
    <t>RDC</t>
  </si>
  <si>
    <t>R+1</t>
  </si>
  <si>
    <t>R+2</t>
  </si>
  <si>
    <t>N°</t>
  </si>
  <si>
    <t>001</t>
  </si>
  <si>
    <t>002</t>
  </si>
  <si>
    <t>003</t>
  </si>
  <si>
    <t>101</t>
  </si>
  <si>
    <t>102</t>
  </si>
  <si>
    <t>103</t>
  </si>
  <si>
    <t>201</t>
  </si>
  <si>
    <t>202</t>
  </si>
  <si>
    <t>TYPOLOGIE</t>
  </si>
  <si>
    <t>T5</t>
  </si>
  <si>
    <t>T4</t>
  </si>
  <si>
    <t>T3</t>
  </si>
  <si>
    <t>T2</t>
  </si>
  <si>
    <t>Pièces / Surfaces (m²)</t>
  </si>
  <si>
    <t>Séjour / Cuisine</t>
  </si>
  <si>
    <t>Chambre 1</t>
  </si>
  <si>
    <t>Chambre 2</t>
  </si>
  <si>
    <t>Chambre 3</t>
  </si>
  <si>
    <t>Chambre 4</t>
  </si>
  <si>
    <t>Buanderie</t>
  </si>
  <si>
    <t>TOTAL SURFACES HABITABLES</t>
  </si>
  <si>
    <t>Jardin</t>
  </si>
  <si>
    <t>Terrasse</t>
  </si>
  <si>
    <t>Balcon</t>
  </si>
  <si>
    <t>TOTAL SURFACES ANNEXES</t>
  </si>
  <si>
    <t>B</t>
  </si>
  <si>
    <t xml:space="preserve">Entrée  </t>
  </si>
  <si>
    <t>Dégagement</t>
  </si>
  <si>
    <t xml:space="preserve">Bain </t>
  </si>
  <si>
    <t>Douche</t>
  </si>
  <si>
    <t>WC</t>
  </si>
  <si>
    <t>Placard</t>
  </si>
  <si>
    <t>Bain &amp; WC</t>
  </si>
  <si>
    <t>Douche &amp; WC</t>
  </si>
  <si>
    <t>Rangement/cellier</t>
  </si>
  <si>
    <t>Cellier ext.</t>
  </si>
  <si>
    <t>D</t>
  </si>
  <si>
    <t>E1</t>
  </si>
  <si>
    <t>E2</t>
  </si>
  <si>
    <t>VILLAS</t>
  </si>
  <si>
    <t>WC/Buanderie</t>
  </si>
  <si>
    <t>Garage</t>
  </si>
  <si>
    <t>Stationnement ext.</t>
  </si>
  <si>
    <t>Accès villa</t>
  </si>
  <si>
    <t>SURFACE TERRAIN</t>
  </si>
  <si>
    <t>Chambre 5</t>
  </si>
  <si>
    <t>T6</t>
  </si>
  <si>
    <t>C (LLS)</t>
  </si>
  <si>
    <t>001 (LLS)</t>
  </si>
  <si>
    <t>003 (LLS)</t>
  </si>
  <si>
    <t>101 (BRS)</t>
  </si>
  <si>
    <t>001 (BRS)</t>
  </si>
  <si>
    <t>002 (BRS)</t>
  </si>
  <si>
    <t>003 (BRS)</t>
  </si>
  <si>
    <t>102 (BRS)</t>
  </si>
  <si>
    <t>103 (BRS)</t>
  </si>
  <si>
    <t>201 (BRS)</t>
  </si>
  <si>
    <t>202 (BRS)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</si>
</sst>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theme="4" tint="-0.249977111117893"/>
        <bgColor rgb="FF4F81BD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rgb="FF4F81BD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rgb="FF4F81BD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rgb="FFDCE6F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rgb="FF4F81BD"/>
      </patternFill>
    </fill>
    <fill>
      <patternFill patternType="solid">
        <fgColor theme="0" tint="-0.14999847407452621"/>
        <bgColor rgb="FFDCE6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rgb="FFDCE6F1"/>
      </patternFill>
    </fill>
    <fill>
      <patternFill patternType="solid">
        <fgColor theme="4" tint="0.59999389629810485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7" tint="0.39997558519241921"/>
        <bgColor rgb="FF4F81BD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rgb="FFDCE6F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rgb="FF4F81BD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rgb="FFDCE6F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rgb="FF4F81BD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rgb="FFDCE6F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rgb="FF4F81B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rgb="FFDCE6F1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theme="3" tint="-0.24994659260841701"/>
      </left>
      <right style="dashed">
        <color auto="1"/>
      </right>
      <top/>
      <bottom/>
      <diagonal/>
    </border>
    <border>
      <left style="dashed">
        <color auto="1"/>
      </left>
      <right style="medium">
        <color theme="3" tint="-0.24994659260841701"/>
      </right>
      <top/>
      <bottom/>
      <diagonal/>
    </border>
    <border>
      <left style="medium">
        <color theme="3" tint="-0.24994659260841701"/>
      </left>
      <right style="dashed">
        <color auto="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dashed">
        <color auto="1"/>
      </left>
      <right style="dashed">
        <color auto="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dashed">
        <color auto="1"/>
      </left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theme="3" tint="-0.24994659260841701"/>
      </left>
      <right/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theme="3" tint="-0.24994659260841701"/>
      </top>
      <bottom/>
      <diagonal/>
    </border>
    <border>
      <left style="medium">
        <color theme="3" tint="-0.24994659260841701"/>
      </left>
      <right style="medium">
        <color theme="3" tint="-0.24994659260841701"/>
      </right>
      <top/>
      <bottom/>
      <diagonal/>
    </border>
    <border>
      <left style="medium">
        <color theme="3" tint="-0.24994659260841701"/>
      </left>
      <right style="medium">
        <color theme="3" tint="-0.24994659260841701"/>
      </right>
      <top/>
      <bottom style="medium">
        <color theme="3" tint="-0.24994659260841701"/>
      </bottom>
      <diagonal/>
    </border>
    <border>
      <left/>
      <right style="medium">
        <color theme="3" tint="-0.24994659260841701"/>
      </right>
      <top/>
      <bottom/>
      <diagonal/>
    </border>
    <border>
      <left/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3" borderId="5" xfId="0" applyNumberFormat="1" applyFont="1" applyFill="1" applyBorder="1" applyAlignment="1">
      <alignment horizontal="center" vertical="center" wrapText="1"/>
    </xf>
    <xf numFmtId="2" fontId="2" fillId="3" borderId="6" xfId="0" applyNumberFormat="1" applyFont="1" applyFill="1" applyBorder="1" applyAlignment="1">
      <alignment horizontal="center" vertical="center" wrapText="1"/>
    </xf>
    <xf numFmtId="2" fontId="2" fillId="3" borderId="7" xfId="0" applyNumberFormat="1" applyFont="1" applyFill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2" fontId="0" fillId="2" borderId="4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wrapText="1"/>
    </xf>
    <xf numFmtId="0" fontId="0" fillId="11" borderId="1" xfId="0" applyFill="1" applyBorder="1" applyAlignment="1">
      <alignment horizontal="center" wrapText="1"/>
    </xf>
    <xf numFmtId="0" fontId="0" fillId="11" borderId="4" xfId="0" applyFill="1" applyBorder="1" applyAlignment="1">
      <alignment horizontal="center" wrapText="1"/>
    </xf>
    <xf numFmtId="2" fontId="0" fillId="12" borderId="3" xfId="0" applyNumberFormat="1" applyFill="1" applyBorder="1" applyAlignment="1">
      <alignment horizontal="center" vertical="center" wrapText="1"/>
    </xf>
    <xf numFmtId="2" fontId="0" fillId="12" borderId="1" xfId="0" applyNumberFormat="1" applyFill="1" applyBorder="1" applyAlignment="1">
      <alignment horizontal="center" vertical="center" wrapText="1"/>
    </xf>
    <xf numFmtId="2" fontId="0" fillId="12" borderId="4" xfId="0" applyNumberFormat="1" applyFill="1" applyBorder="1" applyAlignment="1">
      <alignment horizontal="center" vertical="center" wrapText="1"/>
    </xf>
    <xf numFmtId="2" fontId="0" fillId="11" borderId="3" xfId="0" applyNumberFormat="1" applyFill="1" applyBorder="1" applyAlignment="1">
      <alignment horizontal="center" vertical="center" wrapText="1"/>
    </xf>
    <xf numFmtId="2" fontId="0" fillId="11" borderId="1" xfId="0" applyNumberFormat="1" applyFill="1" applyBorder="1" applyAlignment="1">
      <alignment horizontal="center" vertical="center" wrapText="1"/>
    </xf>
    <xf numFmtId="2" fontId="0" fillId="11" borderId="4" xfId="0" applyNumberForma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vertical="center"/>
    </xf>
    <xf numFmtId="0" fontId="0" fillId="14" borderId="10" xfId="0" applyFill="1" applyBorder="1" applyAlignment="1">
      <alignment wrapText="1"/>
    </xf>
    <xf numFmtId="0" fontId="0" fillId="15" borderId="10" xfId="0" applyFill="1" applyBorder="1" applyAlignment="1">
      <alignment wrapText="1"/>
    </xf>
    <xf numFmtId="0" fontId="0" fillId="16" borderId="2" xfId="0" applyFill="1" applyBorder="1" applyAlignment="1">
      <alignment wrapText="1"/>
    </xf>
    <xf numFmtId="0" fontId="0" fillId="16" borderId="11" xfId="0" applyFill="1" applyBorder="1" applyAlignment="1">
      <alignment wrapText="1"/>
    </xf>
    <xf numFmtId="0" fontId="0" fillId="17" borderId="2" xfId="0" applyFill="1" applyBorder="1" applyAlignment="1">
      <alignment horizontal="center" wrapText="1"/>
    </xf>
    <xf numFmtId="0" fontId="0" fillId="17" borderId="10" xfId="0" applyFill="1" applyBorder="1" applyAlignment="1">
      <alignment horizontal="center" wrapText="1"/>
    </xf>
    <xf numFmtId="2" fontId="0" fillId="18" borderId="10" xfId="0" applyNumberFormat="1" applyFill="1" applyBorder="1" applyAlignment="1">
      <alignment horizontal="center" vertical="center" wrapText="1"/>
    </xf>
    <xf numFmtId="2" fontId="0" fillId="17" borderId="10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wrapText="1"/>
    </xf>
    <xf numFmtId="0" fontId="0" fillId="19" borderId="1" xfId="0" applyFill="1" applyBorder="1" applyAlignment="1">
      <alignment horizontal="center" wrapText="1"/>
    </xf>
    <xf numFmtId="0" fontId="0" fillId="19" borderId="4" xfId="0" applyFill="1" applyBorder="1" applyAlignment="1">
      <alignment horizontal="center" wrapText="1"/>
    </xf>
    <xf numFmtId="2" fontId="0" fillId="8" borderId="3" xfId="0" applyNumberFormat="1" applyFill="1" applyBorder="1" applyAlignment="1">
      <alignment horizontal="center" vertical="center" wrapText="1"/>
    </xf>
    <xf numFmtId="2" fontId="0" fillId="8" borderId="1" xfId="0" applyNumberFormat="1" applyFill="1" applyBorder="1" applyAlignment="1">
      <alignment horizontal="center" vertical="center" wrapText="1"/>
    </xf>
    <xf numFmtId="2" fontId="0" fillId="8" borderId="4" xfId="0" applyNumberFormat="1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wrapText="1"/>
    </xf>
    <xf numFmtId="0" fontId="0" fillId="22" borderId="1" xfId="0" applyFill="1" applyBorder="1" applyAlignment="1">
      <alignment horizontal="center" wrapText="1"/>
    </xf>
    <xf numFmtId="0" fontId="0" fillId="22" borderId="4" xfId="0" applyFill="1" applyBorder="1" applyAlignment="1">
      <alignment horizontal="center" wrapText="1"/>
    </xf>
    <xf numFmtId="2" fontId="0" fillId="23" borderId="3" xfId="0" applyNumberFormat="1" applyFill="1" applyBorder="1" applyAlignment="1">
      <alignment horizontal="center" vertical="center" wrapText="1"/>
    </xf>
    <xf numFmtId="2" fontId="0" fillId="23" borderId="1" xfId="0" applyNumberFormat="1" applyFill="1" applyBorder="1" applyAlignment="1">
      <alignment horizontal="center" vertical="center" wrapText="1"/>
    </xf>
    <xf numFmtId="2" fontId="0" fillId="23" borderId="4" xfId="0" applyNumberFormat="1" applyFill="1" applyBorder="1" applyAlignment="1">
      <alignment horizontal="center" vertical="center" wrapText="1"/>
    </xf>
    <xf numFmtId="2" fontId="0" fillId="22" borderId="3" xfId="0" applyNumberFormat="1" applyFill="1" applyBorder="1" applyAlignment="1">
      <alignment horizontal="center" vertical="center" wrapText="1"/>
    </xf>
    <xf numFmtId="2" fontId="0" fillId="22" borderId="1" xfId="0" applyNumberFormat="1" applyFill="1" applyBorder="1" applyAlignment="1">
      <alignment horizontal="center" vertical="center" wrapText="1"/>
    </xf>
    <xf numFmtId="2" fontId="0" fillId="22" borderId="4" xfId="0" applyNumberFormat="1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wrapText="1"/>
    </xf>
    <xf numFmtId="0" fontId="0" fillId="26" borderId="1" xfId="0" applyFill="1" applyBorder="1" applyAlignment="1">
      <alignment horizontal="center" wrapText="1"/>
    </xf>
    <xf numFmtId="0" fontId="0" fillId="26" borderId="4" xfId="0" applyFill="1" applyBorder="1" applyAlignment="1">
      <alignment horizontal="center" wrapText="1"/>
    </xf>
    <xf numFmtId="2" fontId="0" fillId="27" borderId="3" xfId="0" applyNumberFormat="1" applyFill="1" applyBorder="1" applyAlignment="1">
      <alignment horizontal="center" vertical="center" wrapText="1"/>
    </xf>
    <xf numFmtId="2" fontId="0" fillId="27" borderId="1" xfId="0" applyNumberFormat="1" applyFill="1" applyBorder="1" applyAlignment="1">
      <alignment horizontal="center" vertical="center" wrapText="1"/>
    </xf>
    <xf numFmtId="2" fontId="0" fillId="27" borderId="4" xfId="0" applyNumberFormat="1" applyFill="1" applyBorder="1" applyAlignment="1">
      <alignment horizontal="center" vertical="center" wrapText="1"/>
    </xf>
    <xf numFmtId="2" fontId="0" fillId="26" borderId="3" xfId="0" applyNumberFormat="1" applyFill="1" applyBorder="1" applyAlignment="1">
      <alignment horizontal="center" vertical="center" wrapText="1"/>
    </xf>
    <xf numFmtId="2" fontId="0" fillId="26" borderId="1" xfId="0" applyNumberFormat="1" applyFill="1" applyBorder="1" applyAlignment="1">
      <alignment horizontal="center" vertical="center" wrapText="1"/>
    </xf>
    <xf numFmtId="2" fontId="0" fillId="26" borderId="4" xfId="0" applyNumberForma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10" xfId="0" applyFill="1" applyBorder="1" applyAlignment="1">
      <alignment horizontal="center" wrapText="1"/>
    </xf>
    <xf numFmtId="2" fontId="0" fillId="27" borderId="10" xfId="0" applyNumberFormat="1" applyFill="1" applyBorder="1" applyAlignment="1">
      <alignment horizontal="center" vertical="center" wrapText="1"/>
    </xf>
    <xf numFmtId="2" fontId="0" fillId="26" borderId="10" xfId="0" applyNumberFormat="1" applyFill="1" applyBorder="1" applyAlignment="1">
      <alignment horizontal="center" vertical="center" wrapText="1"/>
    </xf>
    <xf numFmtId="0" fontId="0" fillId="30" borderId="3" xfId="0" applyFill="1" applyBorder="1" applyAlignment="1">
      <alignment horizontal="center" wrapText="1"/>
    </xf>
    <xf numFmtId="0" fontId="0" fillId="30" borderId="1" xfId="0" applyFill="1" applyBorder="1" applyAlignment="1">
      <alignment horizontal="center" wrapText="1"/>
    </xf>
    <xf numFmtId="0" fontId="0" fillId="30" borderId="4" xfId="0" applyFill="1" applyBorder="1" applyAlignment="1">
      <alignment horizontal="center" wrapText="1"/>
    </xf>
    <xf numFmtId="2" fontId="0" fillId="31" borderId="3" xfId="0" applyNumberFormat="1" applyFill="1" applyBorder="1" applyAlignment="1">
      <alignment horizontal="center" vertical="center" wrapText="1"/>
    </xf>
    <xf numFmtId="2" fontId="0" fillId="31" borderId="1" xfId="0" applyNumberFormat="1" applyFill="1" applyBorder="1" applyAlignment="1">
      <alignment horizontal="center" vertical="center" wrapText="1"/>
    </xf>
    <xf numFmtId="2" fontId="0" fillId="31" borderId="4" xfId="0" applyNumberFormat="1" applyFill="1" applyBorder="1" applyAlignment="1">
      <alignment horizontal="center" vertical="center" wrapText="1"/>
    </xf>
    <xf numFmtId="2" fontId="0" fillId="30" borderId="3" xfId="0" applyNumberFormat="1" applyFill="1" applyBorder="1" applyAlignment="1">
      <alignment horizontal="center" vertical="center" wrapText="1"/>
    </xf>
    <xf numFmtId="2" fontId="0" fillId="30" borderId="1" xfId="0" applyNumberFormat="1" applyFill="1" applyBorder="1" applyAlignment="1">
      <alignment horizontal="center" vertical="center" wrapText="1"/>
    </xf>
    <xf numFmtId="2" fontId="0" fillId="30" borderId="4" xfId="0" applyNumberFormat="1" applyFill="1" applyBorder="1" applyAlignment="1">
      <alignment horizontal="center" vertical="center" wrapText="1"/>
    </xf>
    <xf numFmtId="0" fontId="0" fillId="34" borderId="3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0" fontId="0" fillId="34" borderId="4" xfId="0" applyFill="1" applyBorder="1" applyAlignment="1">
      <alignment horizontal="center" wrapText="1"/>
    </xf>
    <xf numFmtId="2" fontId="0" fillId="35" borderId="3" xfId="0" applyNumberFormat="1" applyFill="1" applyBorder="1" applyAlignment="1">
      <alignment horizontal="center" vertical="center" wrapText="1"/>
    </xf>
    <xf numFmtId="2" fontId="0" fillId="35" borderId="1" xfId="0" applyNumberFormat="1" applyFill="1" applyBorder="1" applyAlignment="1">
      <alignment horizontal="center" vertical="center" wrapText="1"/>
    </xf>
    <xf numFmtId="2" fontId="0" fillId="35" borderId="4" xfId="0" applyNumberFormat="1" applyFill="1" applyBorder="1" applyAlignment="1">
      <alignment horizontal="center" vertical="center" wrapText="1"/>
    </xf>
    <xf numFmtId="2" fontId="0" fillId="34" borderId="3" xfId="0" applyNumberFormat="1" applyFill="1" applyBorder="1" applyAlignment="1">
      <alignment horizontal="center" vertical="center" wrapText="1"/>
    </xf>
    <xf numFmtId="2" fontId="0" fillId="34" borderId="1" xfId="0" applyNumberFormat="1" applyFill="1" applyBorder="1" applyAlignment="1">
      <alignment horizontal="center" vertical="center" wrapText="1"/>
    </xf>
    <xf numFmtId="2" fontId="0" fillId="34" borderId="4" xfId="0" applyNumberForma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19" borderId="8" xfId="0" applyFill="1" applyBorder="1" applyAlignment="1">
      <alignment horizontal="center" vertical="center" wrapText="1"/>
    </xf>
    <xf numFmtId="0" fontId="0" fillId="8" borderId="13" xfId="0" applyFill="1" applyBorder="1"/>
    <xf numFmtId="0" fontId="4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0" fillId="22" borderId="5" xfId="0" applyFill="1" applyBorder="1" applyAlignment="1">
      <alignment horizontal="center" vertical="center" wrapText="1"/>
    </xf>
    <xf numFmtId="0" fontId="0" fillId="23" borderId="6" xfId="0" applyFill="1" applyBorder="1"/>
    <xf numFmtId="0" fontId="0" fillId="23" borderId="7" xfId="0" applyFill="1" applyBorder="1"/>
    <xf numFmtId="0" fontId="0" fillId="22" borderId="8" xfId="0" applyFill="1" applyBorder="1" applyAlignment="1">
      <alignment horizontal="center" vertical="center" wrapText="1"/>
    </xf>
    <xf numFmtId="0" fontId="0" fillId="23" borderId="13" xfId="0" applyFill="1" applyBorder="1"/>
    <xf numFmtId="0" fontId="0" fillId="19" borderId="5" xfId="0" applyFill="1" applyBorder="1" applyAlignment="1">
      <alignment horizontal="center" vertical="center" wrapText="1"/>
    </xf>
    <xf numFmtId="0" fontId="0" fillId="8" borderId="6" xfId="0" applyFill="1" applyBorder="1"/>
    <xf numFmtId="0" fontId="0" fillId="8" borderId="7" xfId="0" applyFill="1" applyBorder="1"/>
    <xf numFmtId="0" fontId="1" fillId="32" borderId="0" xfId="0" applyFont="1" applyFill="1" applyAlignment="1">
      <alignment horizontal="center" vertical="center"/>
    </xf>
    <xf numFmtId="0" fontId="0" fillId="33" borderId="0" xfId="0" applyFill="1" applyAlignment="1">
      <alignment horizontal="center"/>
    </xf>
    <xf numFmtId="0" fontId="0" fillId="34" borderId="5" xfId="0" applyFill="1" applyBorder="1" applyAlignment="1">
      <alignment horizontal="center" vertical="center" wrapText="1"/>
    </xf>
    <xf numFmtId="0" fontId="0" fillId="35" borderId="6" xfId="0" applyFill="1" applyBorder="1"/>
    <xf numFmtId="0" fontId="0" fillId="35" borderId="7" xfId="0" applyFill="1" applyBorder="1"/>
    <xf numFmtId="0" fontId="1" fillId="24" borderId="0" xfId="0" applyFont="1" applyFill="1" applyAlignment="1">
      <alignment horizontal="center" vertical="center"/>
    </xf>
    <xf numFmtId="0" fontId="0" fillId="25" borderId="0" xfId="0" applyFill="1" applyAlignment="1">
      <alignment horizontal="center"/>
    </xf>
    <xf numFmtId="0" fontId="0" fillId="26" borderId="5" xfId="0" applyFill="1" applyBorder="1" applyAlignment="1">
      <alignment horizontal="center" vertical="center" wrapText="1"/>
    </xf>
    <xf numFmtId="0" fontId="0" fillId="27" borderId="6" xfId="0" applyFill="1" applyBorder="1"/>
    <xf numFmtId="0" fontId="0" fillId="27" borderId="7" xfId="0" applyFill="1" applyBorder="1"/>
    <xf numFmtId="0" fontId="1" fillId="28" borderId="0" xfId="0" applyFont="1" applyFill="1" applyAlignment="1">
      <alignment horizontal="center" vertical="center"/>
    </xf>
    <xf numFmtId="0" fontId="0" fillId="29" borderId="0" xfId="0" applyFill="1" applyAlignment="1">
      <alignment horizontal="center"/>
    </xf>
    <xf numFmtId="0" fontId="0" fillId="30" borderId="5" xfId="0" applyFill="1" applyBorder="1" applyAlignment="1">
      <alignment horizontal="center" vertical="center" wrapText="1"/>
    </xf>
    <xf numFmtId="0" fontId="0" fillId="31" borderId="6" xfId="0" applyFill="1" applyBorder="1"/>
    <xf numFmtId="0" fontId="0" fillId="31" borderId="7" xfId="0" applyFill="1" applyBorder="1"/>
    <xf numFmtId="0" fontId="0" fillId="30" borderId="8" xfId="0" applyFill="1" applyBorder="1" applyAlignment="1">
      <alignment horizontal="center" vertical="center" wrapText="1"/>
    </xf>
    <xf numFmtId="0" fontId="0" fillId="31" borderId="13" xfId="0" applyFill="1" applyBorder="1"/>
    <xf numFmtId="0" fontId="1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1" borderId="5" xfId="0" applyFill="1" applyBorder="1" applyAlignment="1">
      <alignment horizontal="center" vertical="center" wrapText="1"/>
    </xf>
    <xf numFmtId="0" fontId="0" fillId="12" borderId="6" xfId="0" applyFill="1" applyBorder="1"/>
    <xf numFmtId="0" fontId="0" fillId="12" borderId="7" xfId="0" applyFill="1" applyBorder="1"/>
    <xf numFmtId="0" fontId="0" fillId="11" borderId="8" xfId="0" applyFill="1" applyBorder="1" applyAlignment="1">
      <alignment horizontal="center" vertical="center" wrapText="1"/>
    </xf>
    <xf numFmtId="0" fontId="0" fillId="12" borderId="13" xfId="0" applyFill="1" applyBorder="1"/>
    <xf numFmtId="0" fontId="1" fillId="20" borderId="0" xfId="0" applyFont="1" applyFill="1" applyAlignment="1">
      <alignment horizontal="center" vertical="center"/>
    </xf>
    <xf numFmtId="0" fontId="0" fillId="21" borderId="0" xfId="0" applyFill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/>
    <xf numFmtId="49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2" fontId="0" fillId="0" borderId="0" xfId="0" applyNumberForma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2" fontId="2" fillId="0" borderId="0" xfId="0" applyNumberFormat="1" applyFont="1" applyFill="1" applyAlignment="1">
      <alignment horizontal="center" vertical="center" wrapText="1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4"/>
  <sheetViews>
    <sheetView tabSelected="1" zoomScale="50" zoomScaleNormal="50" workbookViewId="0">
      <pane xSplit="1" topLeftCell="B1" activePane="topRight" state="frozen"/>
      <selection pane="topRight" activeCell="L76" sqref="L76"/>
    </sheetView>
  </sheetViews>
  <sheetFormatPr baseColWidth="10" defaultColWidth="9.140625" defaultRowHeight="15" x14ac:dyDescent="0.25"/>
  <cols>
    <col min="1" max="1" width="27" customWidth="1"/>
    <col min="2" max="2" width="7.7109375" customWidth="1"/>
    <col min="3" max="3" width="8" customWidth="1"/>
    <col min="4" max="13" width="7" customWidth="1"/>
    <col min="14" max="32" width="9.140625" customWidth="1"/>
  </cols>
  <sheetData>
    <row r="1" spans="1:31" ht="15.75" thickBot="1" x14ac:dyDescent="0.3">
      <c r="A1" s="42" t="s">
        <v>0</v>
      </c>
      <c r="B1" s="6"/>
      <c r="C1" s="104" t="s">
        <v>1</v>
      </c>
      <c r="D1" s="105"/>
      <c r="E1" s="1"/>
      <c r="F1" s="100" t="s">
        <v>2</v>
      </c>
      <c r="G1" s="101"/>
      <c r="H1" s="101"/>
      <c r="I1" s="101"/>
      <c r="J1" s="101"/>
      <c r="K1" s="101"/>
      <c r="L1" s="101"/>
      <c r="M1" s="101"/>
      <c r="O1" s="131" t="s">
        <v>33</v>
      </c>
      <c r="P1" s="132"/>
      <c r="Q1" s="132"/>
      <c r="R1" s="132"/>
      <c r="S1" s="132"/>
      <c r="T1" s="132"/>
      <c r="U1" s="132"/>
      <c r="V1" s="132"/>
      <c r="X1" s="138" t="s">
        <v>55</v>
      </c>
      <c r="Y1" s="139"/>
      <c r="Z1" s="139"/>
      <c r="AA1" s="139"/>
      <c r="AB1" s="139"/>
      <c r="AC1" s="139"/>
      <c r="AD1" s="139"/>
      <c r="AE1" s="139"/>
    </row>
    <row r="2" spans="1:31" ht="15.75" thickBot="1" x14ac:dyDescent="0.3">
      <c r="A2" s="45" t="s">
        <v>3</v>
      </c>
      <c r="B2" s="4"/>
      <c r="C2" s="47" t="s">
        <v>4</v>
      </c>
      <c r="D2" s="47" t="s">
        <v>5</v>
      </c>
      <c r="E2" s="2"/>
      <c r="F2" s="111" t="s">
        <v>4</v>
      </c>
      <c r="G2" s="112"/>
      <c r="H2" s="113"/>
      <c r="I2" s="111" t="s">
        <v>5</v>
      </c>
      <c r="J2" s="112"/>
      <c r="K2" s="113"/>
      <c r="L2" s="102" t="s">
        <v>6</v>
      </c>
      <c r="M2" s="103"/>
      <c r="O2" s="133" t="s">
        <v>4</v>
      </c>
      <c r="P2" s="134"/>
      <c r="Q2" s="135"/>
      <c r="R2" s="133" t="s">
        <v>5</v>
      </c>
      <c r="S2" s="134"/>
      <c r="T2" s="135"/>
      <c r="U2" s="136" t="s">
        <v>6</v>
      </c>
      <c r="V2" s="137"/>
      <c r="X2" s="106" t="s">
        <v>4</v>
      </c>
      <c r="Y2" s="107"/>
      <c r="Z2" s="108"/>
      <c r="AA2" s="106" t="s">
        <v>5</v>
      </c>
      <c r="AB2" s="107"/>
      <c r="AC2" s="108"/>
      <c r="AD2" s="109" t="s">
        <v>6</v>
      </c>
      <c r="AE2" s="110"/>
    </row>
    <row r="3" spans="1:31" ht="30" customHeight="1" thickBot="1" x14ac:dyDescent="0.3">
      <c r="A3" s="10" t="s">
        <v>7</v>
      </c>
      <c r="B3" s="4"/>
      <c r="C3" s="18" t="s">
        <v>8</v>
      </c>
      <c r="D3" s="18" t="s">
        <v>58</v>
      </c>
      <c r="E3" s="3"/>
      <c r="F3" s="15" t="s">
        <v>8</v>
      </c>
      <c r="G3" s="16" t="s">
        <v>9</v>
      </c>
      <c r="H3" s="17" t="s">
        <v>10</v>
      </c>
      <c r="I3" s="15" t="s">
        <v>11</v>
      </c>
      <c r="J3" s="16" t="s">
        <v>12</v>
      </c>
      <c r="K3" s="17" t="s">
        <v>13</v>
      </c>
      <c r="L3" s="15" t="s">
        <v>14</v>
      </c>
      <c r="M3" s="17" t="s">
        <v>15</v>
      </c>
      <c r="O3" s="15" t="s">
        <v>59</v>
      </c>
      <c r="P3" s="16" t="s">
        <v>60</v>
      </c>
      <c r="Q3" s="17" t="s">
        <v>61</v>
      </c>
      <c r="R3" s="15" t="s">
        <v>11</v>
      </c>
      <c r="S3" s="16" t="s">
        <v>12</v>
      </c>
      <c r="T3" s="17" t="s">
        <v>13</v>
      </c>
      <c r="U3" s="15" t="s">
        <v>14</v>
      </c>
      <c r="V3" s="17" t="s">
        <v>15</v>
      </c>
      <c r="X3" s="15" t="s">
        <v>8</v>
      </c>
      <c r="Y3" s="16" t="s">
        <v>9</v>
      </c>
      <c r="Z3" s="17" t="s">
        <v>10</v>
      </c>
      <c r="AA3" s="15" t="s">
        <v>11</v>
      </c>
      <c r="AB3" s="16" t="s">
        <v>12</v>
      </c>
      <c r="AC3" s="17" t="s">
        <v>13</v>
      </c>
      <c r="AD3" s="15" t="s">
        <v>14</v>
      </c>
      <c r="AE3" s="17" t="s">
        <v>15</v>
      </c>
    </row>
    <row r="4" spans="1:31" ht="15.75" thickBot="1" x14ac:dyDescent="0.3">
      <c r="A4" s="46" t="s">
        <v>16</v>
      </c>
      <c r="B4" s="4"/>
      <c r="C4" s="48" t="s">
        <v>17</v>
      </c>
      <c r="D4" s="48" t="s">
        <v>18</v>
      </c>
      <c r="E4" s="2"/>
      <c r="F4" s="51" t="s">
        <v>19</v>
      </c>
      <c r="G4" s="52" t="s">
        <v>20</v>
      </c>
      <c r="H4" s="53" t="s">
        <v>18</v>
      </c>
      <c r="I4" s="51" t="s">
        <v>19</v>
      </c>
      <c r="J4" s="52" t="s">
        <v>20</v>
      </c>
      <c r="K4" s="53" t="s">
        <v>18</v>
      </c>
      <c r="L4" s="51" t="s">
        <v>18</v>
      </c>
      <c r="M4" s="53" t="s">
        <v>18</v>
      </c>
      <c r="O4" s="33" t="s">
        <v>19</v>
      </c>
      <c r="P4" s="34" t="s">
        <v>20</v>
      </c>
      <c r="Q4" s="35" t="s">
        <v>18</v>
      </c>
      <c r="R4" s="33" t="s">
        <v>19</v>
      </c>
      <c r="S4" s="34" t="s">
        <v>20</v>
      </c>
      <c r="T4" s="35" t="s">
        <v>18</v>
      </c>
      <c r="U4" s="33" t="s">
        <v>18</v>
      </c>
      <c r="V4" s="35" t="s">
        <v>18</v>
      </c>
      <c r="X4" s="57" t="s">
        <v>19</v>
      </c>
      <c r="Y4" s="58" t="s">
        <v>20</v>
      </c>
      <c r="Z4" s="59" t="s">
        <v>18</v>
      </c>
      <c r="AA4" s="57" t="s">
        <v>19</v>
      </c>
      <c r="AB4" s="58" t="s">
        <v>20</v>
      </c>
      <c r="AC4" s="59" t="s">
        <v>18</v>
      </c>
      <c r="AD4" s="57" t="s">
        <v>18</v>
      </c>
      <c r="AE4" s="59" t="s">
        <v>18</v>
      </c>
    </row>
    <row r="5" spans="1:31" ht="15.75" thickBot="1" x14ac:dyDescent="0.3">
      <c r="A5" s="10" t="s">
        <v>21</v>
      </c>
      <c r="B5" s="12"/>
      <c r="C5" s="10"/>
      <c r="D5" s="10"/>
      <c r="E5" s="12"/>
      <c r="F5" s="7"/>
      <c r="G5" s="8"/>
      <c r="H5" s="9"/>
      <c r="I5" s="7"/>
      <c r="J5" s="8"/>
      <c r="K5" s="9"/>
      <c r="L5" s="7"/>
      <c r="M5" s="9"/>
      <c r="O5" s="7"/>
      <c r="P5" s="8"/>
      <c r="Q5" s="9"/>
      <c r="R5" s="7"/>
      <c r="S5" s="8"/>
      <c r="T5" s="9"/>
      <c r="U5" s="7"/>
      <c r="V5" s="9"/>
      <c r="X5" s="7"/>
      <c r="Y5" s="8"/>
      <c r="Z5" s="9"/>
      <c r="AA5" s="7"/>
      <c r="AB5" s="8"/>
      <c r="AC5" s="9"/>
      <c r="AD5" s="7"/>
      <c r="AE5" s="9"/>
    </row>
    <row r="6" spans="1:31" x14ac:dyDescent="0.25">
      <c r="A6" s="43" t="s">
        <v>34</v>
      </c>
      <c r="B6" s="4"/>
      <c r="C6" s="49">
        <v>9.8699999999999992</v>
      </c>
      <c r="D6" s="49">
        <v>6.92</v>
      </c>
      <c r="E6" s="25"/>
      <c r="F6" s="54">
        <v>5.7</v>
      </c>
      <c r="G6" s="55">
        <v>1.84</v>
      </c>
      <c r="H6" s="56">
        <v>4.38</v>
      </c>
      <c r="I6" s="54">
        <v>5.7</v>
      </c>
      <c r="J6" s="55">
        <v>1.84</v>
      </c>
      <c r="K6" s="56">
        <v>4.38</v>
      </c>
      <c r="L6" s="54">
        <v>3.49</v>
      </c>
      <c r="M6" s="56">
        <v>3.64</v>
      </c>
      <c r="N6" s="29"/>
      <c r="O6" s="36">
        <v>6.13</v>
      </c>
      <c r="P6" s="37">
        <v>1.84</v>
      </c>
      <c r="Q6" s="38">
        <v>4.84</v>
      </c>
      <c r="R6" s="36">
        <v>6.13</v>
      </c>
      <c r="S6" s="37">
        <v>1.84</v>
      </c>
      <c r="T6" s="38">
        <v>4.84</v>
      </c>
      <c r="U6" s="36">
        <v>3.97</v>
      </c>
      <c r="V6" s="38">
        <v>4.62</v>
      </c>
      <c r="X6" s="60">
        <v>3.35</v>
      </c>
      <c r="Y6" s="61"/>
      <c r="Z6" s="62">
        <v>6.98</v>
      </c>
      <c r="AA6" s="60">
        <v>3.37</v>
      </c>
      <c r="AB6" s="61">
        <v>3.7</v>
      </c>
      <c r="AC6" s="62">
        <v>7.07</v>
      </c>
      <c r="AD6" s="60">
        <v>3.93</v>
      </c>
      <c r="AE6" s="62">
        <v>4.91</v>
      </c>
    </row>
    <row r="7" spans="1:31" x14ac:dyDescent="0.25">
      <c r="A7" s="11" t="s">
        <v>22</v>
      </c>
      <c r="B7" s="4"/>
      <c r="C7" s="24">
        <v>39.119999999999997</v>
      </c>
      <c r="D7" s="24">
        <v>38.53</v>
      </c>
      <c r="E7" s="25"/>
      <c r="F7" s="26">
        <v>27.62</v>
      </c>
      <c r="G7" s="27">
        <v>25.16</v>
      </c>
      <c r="H7" s="28">
        <v>31.84</v>
      </c>
      <c r="I7" s="26">
        <v>27.62</v>
      </c>
      <c r="J7" s="27">
        <v>25.16</v>
      </c>
      <c r="K7" s="28">
        <v>31.49</v>
      </c>
      <c r="L7" s="26">
        <v>33.630000000000003</v>
      </c>
      <c r="M7" s="28">
        <v>33.380000000000003</v>
      </c>
      <c r="N7" s="29"/>
      <c r="O7" s="26">
        <v>26.63</v>
      </c>
      <c r="P7" s="27">
        <v>25.16</v>
      </c>
      <c r="Q7" s="28">
        <v>31.11</v>
      </c>
      <c r="R7" s="26">
        <v>26.63</v>
      </c>
      <c r="S7" s="27">
        <v>25.16</v>
      </c>
      <c r="T7" s="28">
        <v>31.11</v>
      </c>
      <c r="U7" s="26">
        <v>34.31</v>
      </c>
      <c r="V7" s="28">
        <v>32.409999999999997</v>
      </c>
      <c r="X7" s="26">
        <v>29.67</v>
      </c>
      <c r="Y7" s="27">
        <v>29.24</v>
      </c>
      <c r="Z7" s="28">
        <v>30.1</v>
      </c>
      <c r="AA7" s="26">
        <v>29.7</v>
      </c>
      <c r="AB7" s="27">
        <v>26.85</v>
      </c>
      <c r="AC7" s="28">
        <v>29.27</v>
      </c>
      <c r="AD7" s="26">
        <v>27.12</v>
      </c>
      <c r="AE7" s="28">
        <v>36.32</v>
      </c>
    </row>
    <row r="8" spans="1:31" x14ac:dyDescent="0.25">
      <c r="A8" s="43" t="s">
        <v>23</v>
      </c>
      <c r="B8" s="4"/>
      <c r="C8" s="50">
        <v>10.19</v>
      </c>
      <c r="D8" s="50">
        <v>10.71</v>
      </c>
      <c r="E8" s="25"/>
      <c r="F8" s="30">
        <v>11.13</v>
      </c>
      <c r="G8" s="31">
        <v>13</v>
      </c>
      <c r="H8" s="32">
        <v>12.45</v>
      </c>
      <c r="I8" s="30">
        <v>11.13</v>
      </c>
      <c r="J8" s="31">
        <v>13</v>
      </c>
      <c r="K8" s="32">
        <v>12.45</v>
      </c>
      <c r="L8" s="30">
        <v>13.61</v>
      </c>
      <c r="M8" s="32">
        <v>10.26</v>
      </c>
      <c r="N8" s="29"/>
      <c r="O8" s="39">
        <v>11.15</v>
      </c>
      <c r="P8" s="40">
        <v>13.01</v>
      </c>
      <c r="Q8" s="41">
        <v>12.48</v>
      </c>
      <c r="R8" s="39">
        <v>11.15</v>
      </c>
      <c r="S8" s="40">
        <v>13</v>
      </c>
      <c r="T8" s="41">
        <v>12.48</v>
      </c>
      <c r="U8" s="39">
        <v>13.61</v>
      </c>
      <c r="V8" s="41">
        <v>10.28</v>
      </c>
      <c r="X8" s="63">
        <v>12.67</v>
      </c>
      <c r="Y8" s="64">
        <v>12.9</v>
      </c>
      <c r="Z8" s="65">
        <v>11.87</v>
      </c>
      <c r="AA8" s="63">
        <v>12.03</v>
      </c>
      <c r="AB8" s="64">
        <v>12.86</v>
      </c>
      <c r="AC8" s="65">
        <v>12.2</v>
      </c>
      <c r="AD8" s="63">
        <v>13.91</v>
      </c>
      <c r="AE8" s="65">
        <v>10.07</v>
      </c>
    </row>
    <row r="9" spans="1:31" x14ac:dyDescent="0.25">
      <c r="A9" s="11" t="s">
        <v>24</v>
      </c>
      <c r="B9" s="4"/>
      <c r="C9" s="24">
        <v>10.19</v>
      </c>
      <c r="D9" s="24">
        <v>12.06</v>
      </c>
      <c r="E9" s="25"/>
      <c r="F9" s="26">
        <v>11.65</v>
      </c>
      <c r="G9" s="27"/>
      <c r="H9" s="28">
        <v>10.36</v>
      </c>
      <c r="I9" s="26">
        <v>11.65</v>
      </c>
      <c r="J9" s="27"/>
      <c r="K9" s="28">
        <v>10.36</v>
      </c>
      <c r="L9" s="26">
        <v>12.32</v>
      </c>
      <c r="M9" s="28">
        <v>10.36</v>
      </c>
      <c r="N9" s="29"/>
      <c r="O9" s="26">
        <v>11.65</v>
      </c>
      <c r="P9" s="27"/>
      <c r="Q9" s="28">
        <v>10.36</v>
      </c>
      <c r="R9" s="26">
        <v>11.65</v>
      </c>
      <c r="S9" s="27"/>
      <c r="T9" s="28">
        <v>10.36</v>
      </c>
      <c r="U9" s="26">
        <v>12.13</v>
      </c>
      <c r="V9" s="28">
        <v>10.36</v>
      </c>
      <c r="X9" s="26">
        <v>10.32</v>
      </c>
      <c r="Y9" s="27"/>
      <c r="Z9" s="28">
        <v>12.13</v>
      </c>
      <c r="AA9" s="26">
        <v>11.63</v>
      </c>
      <c r="AB9" s="27"/>
      <c r="AC9" s="28">
        <v>11.75</v>
      </c>
      <c r="AD9" s="26">
        <v>10.33</v>
      </c>
      <c r="AE9" s="28">
        <v>10.67</v>
      </c>
    </row>
    <row r="10" spans="1:31" x14ac:dyDescent="0.25">
      <c r="A10" s="43" t="s">
        <v>25</v>
      </c>
      <c r="B10" s="4"/>
      <c r="C10" s="50">
        <v>12.11</v>
      </c>
      <c r="D10" s="50">
        <v>10.34</v>
      </c>
      <c r="E10" s="25"/>
      <c r="F10" s="30"/>
      <c r="G10" s="31"/>
      <c r="H10" s="32">
        <v>11.79</v>
      </c>
      <c r="I10" s="30"/>
      <c r="J10" s="31"/>
      <c r="K10" s="32">
        <v>11.79</v>
      </c>
      <c r="L10" s="30">
        <v>9.69</v>
      </c>
      <c r="M10" s="32">
        <v>11.67</v>
      </c>
      <c r="N10" s="29"/>
      <c r="O10" s="39"/>
      <c r="P10" s="40"/>
      <c r="Q10" s="41">
        <v>11.79</v>
      </c>
      <c r="R10" s="39"/>
      <c r="S10" s="40"/>
      <c r="T10" s="41">
        <v>11.79</v>
      </c>
      <c r="U10" s="39">
        <v>9.83</v>
      </c>
      <c r="V10" s="41">
        <v>11.67</v>
      </c>
      <c r="X10" s="63"/>
      <c r="Y10" s="64"/>
      <c r="Z10" s="65">
        <v>11.94</v>
      </c>
      <c r="AA10" s="63"/>
      <c r="AB10" s="64"/>
      <c r="AC10" s="65">
        <v>11.76</v>
      </c>
      <c r="AD10" s="63">
        <v>10.34</v>
      </c>
      <c r="AE10" s="65">
        <v>11.13</v>
      </c>
    </row>
    <row r="11" spans="1:31" x14ac:dyDescent="0.25">
      <c r="A11" s="11" t="s">
        <v>26</v>
      </c>
      <c r="B11" s="4"/>
      <c r="C11" s="24">
        <v>10.79</v>
      </c>
      <c r="D11" s="24"/>
      <c r="E11" s="25"/>
      <c r="F11" s="26"/>
      <c r="G11" s="27"/>
      <c r="H11" s="28"/>
      <c r="I11" s="26"/>
      <c r="J11" s="27"/>
      <c r="K11" s="28"/>
      <c r="L11" s="26"/>
      <c r="M11" s="28"/>
      <c r="N11" s="29"/>
      <c r="O11" s="26"/>
      <c r="P11" s="27"/>
      <c r="Q11" s="28"/>
      <c r="R11" s="26"/>
      <c r="S11" s="27"/>
      <c r="T11" s="28"/>
      <c r="U11" s="26"/>
      <c r="V11" s="28"/>
      <c r="X11" s="26"/>
      <c r="Y11" s="27"/>
      <c r="Z11" s="28"/>
      <c r="AA11" s="26"/>
      <c r="AB11" s="27"/>
      <c r="AC11" s="28"/>
      <c r="AD11" s="26">
        <v>10.26</v>
      </c>
      <c r="AE11" s="28"/>
    </row>
    <row r="12" spans="1:31" x14ac:dyDescent="0.25">
      <c r="A12" s="43" t="s">
        <v>35</v>
      </c>
      <c r="B12" s="4"/>
      <c r="C12" s="50"/>
      <c r="D12" s="50"/>
      <c r="E12" s="25"/>
      <c r="F12" s="30">
        <v>2.88</v>
      </c>
      <c r="G12" s="31"/>
      <c r="H12" s="32">
        <v>4.5</v>
      </c>
      <c r="I12" s="30">
        <v>2.88</v>
      </c>
      <c r="J12" s="31"/>
      <c r="K12" s="32">
        <v>4.5</v>
      </c>
      <c r="L12" s="30">
        <v>4.51</v>
      </c>
      <c r="M12" s="32">
        <v>4.7</v>
      </c>
      <c r="N12" s="29"/>
      <c r="O12" s="39">
        <v>2.46</v>
      </c>
      <c r="P12" s="40"/>
      <c r="Q12" s="41">
        <v>4.3</v>
      </c>
      <c r="R12" s="39">
        <v>2.46</v>
      </c>
      <c r="S12" s="40"/>
      <c r="T12" s="41">
        <v>4.3</v>
      </c>
      <c r="U12" s="39">
        <v>4.0999999999999996</v>
      </c>
      <c r="V12" s="41">
        <v>4.7</v>
      </c>
      <c r="X12" s="63">
        <v>3.67</v>
      </c>
      <c r="Y12" s="64"/>
      <c r="Z12" s="65">
        <v>4.0599999999999996</v>
      </c>
      <c r="AA12" s="63">
        <v>3.22</v>
      </c>
      <c r="AB12" s="64"/>
      <c r="AC12" s="65">
        <v>4.4000000000000004</v>
      </c>
      <c r="AD12" s="63">
        <f>2.74+3.84</f>
        <v>6.58</v>
      </c>
      <c r="AE12" s="65">
        <v>4.72</v>
      </c>
    </row>
    <row r="13" spans="1:31" x14ac:dyDescent="0.25">
      <c r="A13" s="11" t="s">
        <v>36</v>
      </c>
      <c r="B13" s="4"/>
      <c r="C13" s="24"/>
      <c r="D13" s="24"/>
      <c r="E13" s="25"/>
      <c r="F13" s="26"/>
      <c r="G13" s="27"/>
      <c r="H13" s="28"/>
      <c r="I13" s="26"/>
      <c r="J13" s="27"/>
      <c r="K13" s="28"/>
      <c r="L13" s="26"/>
      <c r="M13" s="28"/>
      <c r="N13" s="29"/>
      <c r="O13" s="26"/>
      <c r="P13" s="27"/>
      <c r="Q13" s="28"/>
      <c r="R13" s="26"/>
      <c r="S13" s="27"/>
      <c r="T13" s="28"/>
      <c r="U13" s="26"/>
      <c r="V13" s="28"/>
      <c r="X13" s="26"/>
      <c r="Y13" s="27"/>
      <c r="Z13" s="28">
        <v>4.66</v>
      </c>
      <c r="AA13" s="26"/>
      <c r="AB13" s="27"/>
      <c r="AC13" s="28">
        <v>4.66</v>
      </c>
      <c r="AD13" s="26">
        <v>4.9000000000000004</v>
      </c>
      <c r="AE13" s="28">
        <v>4.09</v>
      </c>
    </row>
    <row r="14" spans="1:31" x14ac:dyDescent="0.25">
      <c r="A14" s="43" t="s">
        <v>37</v>
      </c>
      <c r="B14" s="4"/>
      <c r="C14" s="50"/>
      <c r="D14" s="50"/>
      <c r="E14" s="25"/>
      <c r="F14" s="30">
        <v>5.33</v>
      </c>
      <c r="G14" s="31">
        <v>4.76</v>
      </c>
      <c r="H14" s="32"/>
      <c r="I14" s="30">
        <v>5.33</v>
      </c>
      <c r="J14" s="31">
        <v>4.76</v>
      </c>
      <c r="K14" s="32"/>
      <c r="L14" s="30">
        <v>5.62</v>
      </c>
      <c r="M14" s="32"/>
      <c r="N14" s="29"/>
      <c r="O14" s="39">
        <v>5.24</v>
      </c>
      <c r="P14" s="40">
        <v>4.76</v>
      </c>
      <c r="Q14" s="41"/>
      <c r="R14" s="39">
        <v>5.33</v>
      </c>
      <c r="S14" s="40">
        <v>4.76</v>
      </c>
      <c r="T14" s="41"/>
      <c r="U14" s="39">
        <v>5.3</v>
      </c>
      <c r="V14" s="41"/>
      <c r="X14" s="63">
        <v>5.0599999999999996</v>
      </c>
      <c r="Y14" s="64"/>
      <c r="Z14" s="65"/>
      <c r="AA14" s="63">
        <v>4.99</v>
      </c>
      <c r="AB14" s="64"/>
      <c r="AC14" s="65"/>
      <c r="AD14" s="63"/>
      <c r="AE14" s="65">
        <v>3.13</v>
      </c>
    </row>
    <row r="15" spans="1:31" x14ac:dyDescent="0.25">
      <c r="A15" s="11" t="s">
        <v>40</v>
      </c>
      <c r="B15" s="4"/>
      <c r="C15" s="24"/>
      <c r="D15" s="24"/>
      <c r="E15" s="25"/>
      <c r="F15" s="26"/>
      <c r="G15" s="27"/>
      <c r="H15" s="28"/>
      <c r="I15" s="26"/>
      <c r="J15" s="27"/>
      <c r="K15" s="28"/>
      <c r="L15" s="26"/>
      <c r="M15" s="28"/>
      <c r="N15" s="29"/>
      <c r="O15" s="26"/>
      <c r="P15" s="27"/>
      <c r="Q15" s="28"/>
      <c r="R15" s="26"/>
      <c r="S15" s="27"/>
      <c r="T15" s="28"/>
      <c r="U15" s="26"/>
      <c r="V15" s="28"/>
      <c r="X15" s="26"/>
      <c r="Y15" s="27"/>
      <c r="Z15" s="28"/>
      <c r="AA15" s="26"/>
      <c r="AB15" s="27"/>
      <c r="AC15" s="28"/>
      <c r="AD15" s="26"/>
      <c r="AE15" s="28"/>
    </row>
    <row r="16" spans="1:31" x14ac:dyDescent="0.25">
      <c r="A16" s="43" t="s">
        <v>41</v>
      </c>
      <c r="B16" s="4"/>
      <c r="C16" s="50">
        <f>4.84+5.8</f>
        <v>10.64</v>
      </c>
      <c r="D16" s="50">
        <v>6.1</v>
      </c>
      <c r="E16" s="25"/>
      <c r="F16" s="30"/>
      <c r="G16" s="31"/>
      <c r="H16" s="32">
        <v>6.05</v>
      </c>
      <c r="I16" s="30"/>
      <c r="J16" s="31"/>
      <c r="K16" s="32">
        <v>6.05</v>
      </c>
      <c r="L16" s="30">
        <v>4.43</v>
      </c>
      <c r="M16" s="32">
        <v>6.04</v>
      </c>
      <c r="N16" s="29"/>
      <c r="O16" s="39"/>
      <c r="P16" s="40"/>
      <c r="Q16" s="41">
        <v>6.14</v>
      </c>
      <c r="R16" s="39"/>
      <c r="S16" s="40"/>
      <c r="T16" s="41">
        <v>6.09</v>
      </c>
      <c r="U16" s="39">
        <v>4.43</v>
      </c>
      <c r="V16" s="41">
        <v>6.08</v>
      </c>
      <c r="X16" s="63"/>
      <c r="Y16" s="64">
        <v>5.41</v>
      </c>
      <c r="Z16" s="65"/>
      <c r="AA16" s="63"/>
      <c r="AB16" s="64">
        <v>4.62</v>
      </c>
      <c r="AC16" s="65"/>
      <c r="AD16" s="63">
        <v>4.16</v>
      </c>
      <c r="AE16" s="65"/>
    </row>
    <row r="17" spans="1:32" x14ac:dyDescent="0.25">
      <c r="A17" s="11" t="s">
        <v>38</v>
      </c>
      <c r="B17" s="4"/>
      <c r="C17" s="24">
        <v>1.39</v>
      </c>
      <c r="D17" s="24">
        <v>1.29</v>
      </c>
      <c r="E17" s="25"/>
      <c r="F17" s="26">
        <v>2.13</v>
      </c>
      <c r="G17" s="27">
        <v>1.56</v>
      </c>
      <c r="H17" s="28">
        <v>1.85</v>
      </c>
      <c r="I17" s="26">
        <v>2.13</v>
      </c>
      <c r="J17" s="27">
        <v>1.56</v>
      </c>
      <c r="K17" s="28">
        <v>1.85</v>
      </c>
      <c r="L17" s="26">
        <v>2.19</v>
      </c>
      <c r="M17" s="28">
        <v>1.43</v>
      </c>
      <c r="N17" s="29"/>
      <c r="O17" s="26">
        <v>2.13</v>
      </c>
      <c r="P17" s="27">
        <v>1.56</v>
      </c>
      <c r="Q17" s="28">
        <v>2</v>
      </c>
      <c r="R17" s="26">
        <v>2.13</v>
      </c>
      <c r="S17" s="27">
        <v>1.56</v>
      </c>
      <c r="T17" s="28">
        <v>2</v>
      </c>
      <c r="U17" s="26">
        <v>2.42</v>
      </c>
      <c r="V17" s="28">
        <v>1.44</v>
      </c>
      <c r="X17" s="26">
        <v>1.41</v>
      </c>
      <c r="Y17" s="27"/>
      <c r="Z17" s="28">
        <v>2.29</v>
      </c>
      <c r="AA17" s="26">
        <v>1.41</v>
      </c>
      <c r="AB17" s="27"/>
      <c r="AC17" s="28">
        <v>1.44</v>
      </c>
      <c r="AD17" s="26">
        <v>1.34</v>
      </c>
      <c r="AE17" s="28">
        <v>1.58</v>
      </c>
    </row>
    <row r="18" spans="1:32" x14ac:dyDescent="0.25">
      <c r="A18" s="44" t="s">
        <v>39</v>
      </c>
      <c r="B18" s="4"/>
      <c r="C18" s="49">
        <v>0.48</v>
      </c>
      <c r="D18" s="49">
        <v>0.98</v>
      </c>
      <c r="E18" s="25"/>
      <c r="F18" s="54">
        <v>0.98</v>
      </c>
      <c r="G18" s="55">
        <v>0.38</v>
      </c>
      <c r="H18" s="56">
        <v>0.67</v>
      </c>
      <c r="I18" s="54">
        <v>0.98</v>
      </c>
      <c r="J18" s="55">
        <v>0.38</v>
      </c>
      <c r="K18" s="56">
        <v>0.67</v>
      </c>
      <c r="L18" s="54">
        <v>0.93</v>
      </c>
      <c r="M18" s="56">
        <v>1.1299999999999999</v>
      </c>
      <c r="N18" s="29"/>
      <c r="O18" s="36">
        <v>0.98</v>
      </c>
      <c r="P18" s="37">
        <v>0.24</v>
      </c>
      <c r="Q18" s="38">
        <v>0.69</v>
      </c>
      <c r="R18" s="36">
        <v>0.98</v>
      </c>
      <c r="S18" s="37">
        <v>0.24</v>
      </c>
      <c r="T18" s="38">
        <v>0.67</v>
      </c>
      <c r="U18" s="36">
        <v>0.78</v>
      </c>
      <c r="V18" s="38">
        <v>1.1399999999999999</v>
      </c>
      <c r="X18" s="60">
        <v>0.6</v>
      </c>
      <c r="Y18" s="61">
        <v>1.43</v>
      </c>
      <c r="Z18" s="62">
        <v>0.86</v>
      </c>
      <c r="AA18" s="60">
        <v>0.53</v>
      </c>
      <c r="AB18" s="61">
        <v>1.59</v>
      </c>
      <c r="AC18" s="62">
        <v>0.5</v>
      </c>
      <c r="AD18" s="60">
        <f>1.4+1</f>
        <v>2.4</v>
      </c>
      <c r="AE18" s="62">
        <v>0.92</v>
      </c>
    </row>
    <row r="19" spans="1:32" x14ac:dyDescent="0.25">
      <c r="A19" s="11" t="s">
        <v>42</v>
      </c>
      <c r="B19" s="4"/>
      <c r="C19" s="24">
        <v>1.84</v>
      </c>
      <c r="D19" s="24"/>
      <c r="E19" s="25"/>
      <c r="F19" s="26"/>
      <c r="G19" s="27"/>
      <c r="H19" s="28"/>
      <c r="I19" s="26"/>
      <c r="J19" s="27"/>
      <c r="K19" s="28"/>
      <c r="L19" s="26">
        <v>0.99</v>
      </c>
      <c r="M19" s="28">
        <v>3.37</v>
      </c>
      <c r="N19" s="29"/>
      <c r="O19" s="26"/>
      <c r="P19" s="27"/>
      <c r="Q19" s="28"/>
      <c r="R19" s="26"/>
      <c r="S19" s="27"/>
      <c r="T19" s="28"/>
      <c r="U19" s="26">
        <v>0.93</v>
      </c>
      <c r="V19" s="28">
        <v>3.37</v>
      </c>
      <c r="X19" s="26">
        <v>1.66</v>
      </c>
      <c r="Y19" s="27"/>
      <c r="Z19" s="28"/>
      <c r="AA19" s="26">
        <v>1.53</v>
      </c>
      <c r="AB19" s="27"/>
      <c r="AC19" s="28">
        <v>1.48</v>
      </c>
      <c r="AD19" s="26">
        <v>1.55</v>
      </c>
      <c r="AE19" s="28">
        <v>1.08</v>
      </c>
    </row>
    <row r="20" spans="1:32" ht="15.75" thickBot="1" x14ac:dyDescent="0.3">
      <c r="A20" s="43" t="s">
        <v>27</v>
      </c>
      <c r="B20" s="4"/>
      <c r="C20" s="50">
        <v>1.22</v>
      </c>
      <c r="D20" s="50"/>
      <c r="E20" s="25"/>
      <c r="F20" s="30">
        <v>2.02</v>
      </c>
      <c r="G20" s="31"/>
      <c r="H20" s="32">
        <v>2.63</v>
      </c>
      <c r="I20" s="30">
        <v>2.02</v>
      </c>
      <c r="J20" s="31"/>
      <c r="K20" s="32">
        <v>2.63</v>
      </c>
      <c r="L20" s="30">
        <v>2.46</v>
      </c>
      <c r="M20" s="32">
        <v>2.63</v>
      </c>
      <c r="N20" s="29"/>
      <c r="O20" s="39">
        <v>2.02</v>
      </c>
      <c r="P20" s="40"/>
      <c r="Q20" s="41">
        <v>2.63</v>
      </c>
      <c r="R20" s="39">
        <v>2.02</v>
      </c>
      <c r="S20" s="40"/>
      <c r="T20" s="41">
        <v>2.63</v>
      </c>
      <c r="U20" s="39">
        <v>2.0499999999999998</v>
      </c>
      <c r="V20" s="41">
        <v>2.63</v>
      </c>
      <c r="X20" s="63"/>
      <c r="Y20" s="64"/>
      <c r="Z20" s="65">
        <v>1.58</v>
      </c>
      <c r="AA20" s="63"/>
      <c r="AB20" s="64"/>
      <c r="AC20" s="65">
        <v>1.65</v>
      </c>
      <c r="AD20" s="63"/>
      <c r="AE20" s="65">
        <v>2.21</v>
      </c>
    </row>
    <row r="21" spans="1:32" ht="30" customHeight="1" thickBot="1" x14ac:dyDescent="0.3">
      <c r="A21" s="13" t="s">
        <v>28</v>
      </c>
      <c r="B21" s="5"/>
      <c r="C21" s="19">
        <f>SUM(C6:C20)</f>
        <v>107.83999999999999</v>
      </c>
      <c r="D21" s="19">
        <f>SUM(D6:D20)</f>
        <v>86.93</v>
      </c>
      <c r="E21" s="20"/>
      <c r="F21" s="21">
        <f>SUM(F6:F20)</f>
        <v>69.44</v>
      </c>
      <c r="G21" s="22">
        <f t="shared" ref="G21:M21" si="0">SUM(G6:G20)</f>
        <v>46.7</v>
      </c>
      <c r="H21" s="23">
        <f t="shared" si="0"/>
        <v>86.519999999999982</v>
      </c>
      <c r="I21" s="21">
        <f t="shared" si="0"/>
        <v>69.44</v>
      </c>
      <c r="J21" s="22">
        <f t="shared" si="0"/>
        <v>46.7</v>
      </c>
      <c r="K21" s="23">
        <f t="shared" si="0"/>
        <v>86.169999999999987</v>
      </c>
      <c r="L21" s="21">
        <f t="shared" si="0"/>
        <v>93.87</v>
      </c>
      <c r="M21" s="23">
        <f t="shared" si="0"/>
        <v>88.610000000000014</v>
      </c>
      <c r="N21" s="29"/>
      <c r="O21" s="21">
        <f t="shared" ref="O21" si="1">SUM(O6:O20)</f>
        <v>68.39</v>
      </c>
      <c r="P21" s="22">
        <f t="shared" ref="P21" si="2">SUM(P6:P20)</f>
        <v>46.57</v>
      </c>
      <c r="Q21" s="23">
        <f t="shared" ref="Q21" si="3">SUM(Q6:Q20)</f>
        <v>86.34</v>
      </c>
      <c r="R21" s="21">
        <f t="shared" ref="R21" si="4">SUM(R6:R20)</f>
        <v>68.47999999999999</v>
      </c>
      <c r="S21" s="22">
        <f t="shared" ref="S21" si="5">SUM(S6:S20)</f>
        <v>46.56</v>
      </c>
      <c r="T21" s="23">
        <f t="shared" ref="T21" si="6">SUM(T6:T20)</f>
        <v>86.27000000000001</v>
      </c>
      <c r="U21" s="21">
        <f t="shared" ref="U21" si="7">SUM(U6:U20)</f>
        <v>93.859999999999985</v>
      </c>
      <c r="V21" s="23">
        <f t="shared" ref="V21" si="8">SUM(V6:V20)</f>
        <v>88.699999999999989</v>
      </c>
      <c r="X21" s="21">
        <f t="shared" ref="X21" si="9">SUM(X6:X20)</f>
        <v>68.41</v>
      </c>
      <c r="Y21" s="22">
        <f t="shared" ref="Y21" si="10">SUM(Y6:Y20)</f>
        <v>48.98</v>
      </c>
      <c r="Z21" s="23">
        <f t="shared" ref="Z21" si="11">SUM(Z6:Z20)</f>
        <v>86.47</v>
      </c>
      <c r="AA21" s="21">
        <f t="shared" ref="AA21" si="12">SUM(AA6:AA20)</f>
        <v>68.41</v>
      </c>
      <c r="AB21" s="22">
        <f t="shared" ref="AB21" si="13">SUM(AB6:AB20)</f>
        <v>49.62</v>
      </c>
      <c r="AC21" s="23">
        <f t="shared" ref="AC21" si="14">SUM(AC6:AC20)</f>
        <v>86.180000000000021</v>
      </c>
      <c r="AD21" s="21">
        <f t="shared" ref="AD21" si="15">SUM(AD6:AD20)</f>
        <v>96.820000000000007</v>
      </c>
      <c r="AE21" s="23">
        <f t="shared" ref="AE21" si="16">SUM(AE6:AE20)</f>
        <v>90.83</v>
      </c>
    </row>
    <row r="22" spans="1:32" x14ac:dyDescent="0.25">
      <c r="A22" s="11" t="s">
        <v>29</v>
      </c>
      <c r="B22" s="4"/>
      <c r="C22" s="24">
        <f>115.33+4.49</f>
        <v>119.82</v>
      </c>
      <c r="D22" s="24"/>
      <c r="E22" s="25"/>
      <c r="F22" s="26">
        <v>25.66</v>
      </c>
      <c r="G22" s="27">
        <v>20.09</v>
      </c>
      <c r="H22" s="28">
        <v>31.85</v>
      </c>
      <c r="I22" s="26"/>
      <c r="J22" s="27"/>
      <c r="K22" s="28"/>
      <c r="L22" s="26"/>
      <c r="M22" s="28"/>
      <c r="N22" s="29"/>
      <c r="O22" s="26">
        <v>17.88</v>
      </c>
      <c r="P22" s="27">
        <v>14.49</v>
      </c>
      <c r="Q22" s="28">
        <v>21.7</v>
      </c>
      <c r="R22" s="26"/>
      <c r="S22" s="27"/>
      <c r="T22" s="28"/>
      <c r="U22" s="26"/>
      <c r="V22" s="28"/>
      <c r="X22" s="26">
        <v>21.21</v>
      </c>
      <c r="Y22" s="27">
        <v>16.39</v>
      </c>
      <c r="Z22" s="28">
        <v>25.35</v>
      </c>
      <c r="AA22" s="26"/>
      <c r="AB22" s="27"/>
      <c r="AC22" s="28"/>
      <c r="AD22" s="26"/>
      <c r="AE22" s="28"/>
    </row>
    <row r="23" spans="1:32" x14ac:dyDescent="0.25">
      <c r="A23" s="43" t="s">
        <v>30</v>
      </c>
      <c r="B23" s="4"/>
      <c r="C23" s="50">
        <f>18.52+2.15</f>
        <v>20.669999999999998</v>
      </c>
      <c r="D23" s="50">
        <v>22.05</v>
      </c>
      <c r="E23" s="25"/>
      <c r="F23" s="30">
        <v>12.72</v>
      </c>
      <c r="G23" s="31">
        <v>10.119999999999999</v>
      </c>
      <c r="H23" s="32">
        <v>13.83</v>
      </c>
      <c r="I23" s="30"/>
      <c r="J23" s="31"/>
      <c r="K23" s="32"/>
      <c r="L23" s="30">
        <v>24.76</v>
      </c>
      <c r="M23" s="32">
        <v>22.82</v>
      </c>
      <c r="N23" s="29"/>
      <c r="O23" s="39">
        <v>12.76</v>
      </c>
      <c r="P23" s="40">
        <v>10.15</v>
      </c>
      <c r="Q23" s="41">
        <v>13.83</v>
      </c>
      <c r="R23" s="39"/>
      <c r="S23" s="40"/>
      <c r="T23" s="41"/>
      <c r="U23" s="39">
        <v>24.47</v>
      </c>
      <c r="V23" s="41">
        <v>22.82</v>
      </c>
      <c r="X23" s="63">
        <v>12.69</v>
      </c>
      <c r="Y23" s="64">
        <v>8.7200000000000006</v>
      </c>
      <c r="Z23" s="65">
        <v>13.72</v>
      </c>
      <c r="AA23" s="63"/>
      <c r="AB23" s="64"/>
      <c r="AC23" s="65"/>
      <c r="AD23" s="63">
        <v>22.1</v>
      </c>
      <c r="AE23" s="65">
        <v>21.59</v>
      </c>
    </row>
    <row r="24" spans="1:32" x14ac:dyDescent="0.25">
      <c r="A24" s="11" t="s">
        <v>31</v>
      </c>
      <c r="B24" s="4"/>
      <c r="C24" s="24"/>
      <c r="D24" s="24"/>
      <c r="E24" s="25"/>
      <c r="F24" s="26"/>
      <c r="G24" s="27"/>
      <c r="H24" s="28"/>
      <c r="I24" s="26">
        <v>9.9</v>
      </c>
      <c r="J24" s="27">
        <v>9.3000000000000007</v>
      </c>
      <c r="K24" s="28">
        <v>10.55</v>
      </c>
      <c r="L24" s="26"/>
      <c r="M24" s="28"/>
      <c r="N24" s="29"/>
      <c r="O24" s="26"/>
      <c r="P24" s="27"/>
      <c r="Q24" s="28"/>
      <c r="R24" s="26">
        <v>9.93</v>
      </c>
      <c r="S24" s="27">
        <v>9.33</v>
      </c>
      <c r="T24" s="28">
        <v>10.55</v>
      </c>
      <c r="U24" s="26"/>
      <c r="V24" s="28"/>
      <c r="X24" s="26"/>
      <c r="Y24" s="27"/>
      <c r="Z24" s="28"/>
      <c r="AA24" s="26">
        <v>9.73</v>
      </c>
      <c r="AB24" s="27">
        <v>8.56</v>
      </c>
      <c r="AC24" s="28">
        <v>10.26</v>
      </c>
      <c r="AD24" s="26"/>
      <c r="AE24" s="28"/>
    </row>
    <row r="25" spans="1:32" ht="15.75" thickBot="1" x14ac:dyDescent="0.3">
      <c r="A25" s="43" t="s">
        <v>43</v>
      </c>
      <c r="B25" s="4"/>
      <c r="C25" s="50">
        <f>0.83+0.81</f>
        <v>1.6400000000000001</v>
      </c>
      <c r="D25" s="50">
        <f>4.7+2.81</f>
        <v>7.51</v>
      </c>
      <c r="E25" s="25"/>
      <c r="F25" s="30">
        <v>2.1800000000000002</v>
      </c>
      <c r="G25" s="31">
        <v>1.86</v>
      </c>
      <c r="H25" s="32">
        <v>2</v>
      </c>
      <c r="I25" s="30">
        <v>2.2000000000000002</v>
      </c>
      <c r="J25" s="31">
        <v>1.92</v>
      </c>
      <c r="K25" s="32">
        <v>3.94</v>
      </c>
      <c r="L25" s="30"/>
      <c r="M25" s="32"/>
      <c r="N25" s="29"/>
      <c r="O25" s="39">
        <v>2.15</v>
      </c>
      <c r="P25" s="40">
        <v>2.15</v>
      </c>
      <c r="Q25" s="41">
        <v>2.04</v>
      </c>
      <c r="R25" s="39">
        <v>2.17</v>
      </c>
      <c r="S25" s="40">
        <v>1.88</v>
      </c>
      <c r="T25" s="41">
        <v>2.06</v>
      </c>
      <c r="U25" s="39"/>
      <c r="V25" s="41"/>
      <c r="X25" s="63">
        <v>2.04</v>
      </c>
      <c r="Y25" s="64">
        <v>1.74</v>
      </c>
      <c r="Z25" s="65">
        <v>1.9</v>
      </c>
      <c r="AA25" s="63">
        <v>2.1</v>
      </c>
      <c r="AB25" s="64">
        <v>1.79</v>
      </c>
      <c r="AC25" s="65">
        <v>1.96</v>
      </c>
      <c r="AD25" s="63"/>
      <c r="AE25" s="65"/>
    </row>
    <row r="26" spans="1:32" ht="30" customHeight="1" thickBot="1" x14ac:dyDescent="0.3">
      <c r="A26" s="14" t="s">
        <v>32</v>
      </c>
      <c r="B26" s="5"/>
      <c r="C26" s="19">
        <f>SUM(C22:C25)</f>
        <v>142.12999999999997</v>
      </c>
      <c r="D26" s="19">
        <f>SUM(D22:D25)</f>
        <v>29.560000000000002</v>
      </c>
      <c r="E26" s="20"/>
      <c r="F26" s="21">
        <f t="shared" ref="F26:M26" si="17">SUM(F22:F25)</f>
        <v>40.56</v>
      </c>
      <c r="G26" s="22">
        <f t="shared" si="17"/>
        <v>32.07</v>
      </c>
      <c r="H26" s="23">
        <f t="shared" si="17"/>
        <v>47.68</v>
      </c>
      <c r="I26" s="21">
        <f t="shared" si="17"/>
        <v>12.100000000000001</v>
      </c>
      <c r="J26" s="22">
        <f t="shared" si="17"/>
        <v>11.22</v>
      </c>
      <c r="K26" s="23">
        <f t="shared" si="17"/>
        <v>14.49</v>
      </c>
      <c r="L26" s="21">
        <f t="shared" si="17"/>
        <v>24.76</v>
      </c>
      <c r="M26" s="23">
        <f t="shared" si="17"/>
        <v>22.82</v>
      </c>
      <c r="N26" s="29"/>
      <c r="O26" s="21">
        <f t="shared" ref="O26" si="18">SUM(O22:O25)</f>
        <v>32.79</v>
      </c>
      <c r="P26" s="22">
        <f t="shared" ref="P26" si="19">SUM(P22:P25)</f>
        <v>26.79</v>
      </c>
      <c r="Q26" s="23">
        <f t="shared" ref="Q26" si="20">SUM(Q22:Q25)</f>
        <v>37.57</v>
      </c>
      <c r="R26" s="21">
        <f t="shared" ref="R26" si="21">SUM(R22:R25)</f>
        <v>12.1</v>
      </c>
      <c r="S26" s="22">
        <f t="shared" ref="S26" si="22">SUM(S22:S25)</f>
        <v>11.21</v>
      </c>
      <c r="T26" s="23">
        <f t="shared" ref="T26" si="23">SUM(T22:T25)</f>
        <v>12.610000000000001</v>
      </c>
      <c r="U26" s="21">
        <f t="shared" ref="U26" si="24">SUM(U22:U25)</f>
        <v>24.47</v>
      </c>
      <c r="V26" s="23">
        <f t="shared" ref="V26" si="25">SUM(V22:V25)</f>
        <v>22.82</v>
      </c>
      <c r="X26" s="21">
        <f t="shared" ref="X26" si="26">SUM(X22:X25)</f>
        <v>35.94</v>
      </c>
      <c r="Y26" s="22">
        <f t="shared" ref="Y26" si="27">SUM(Y22:Y25)</f>
        <v>26.849999999999998</v>
      </c>
      <c r="Z26" s="23">
        <f t="shared" ref="Z26" si="28">SUM(Z22:Z25)</f>
        <v>40.97</v>
      </c>
      <c r="AA26" s="21">
        <f t="shared" ref="AA26" si="29">SUM(AA22:AA25)</f>
        <v>11.83</v>
      </c>
      <c r="AB26" s="22">
        <f t="shared" ref="AB26" si="30">SUM(AB22:AB25)</f>
        <v>10.350000000000001</v>
      </c>
      <c r="AC26" s="23">
        <f t="shared" ref="AC26" si="31">SUM(AC22:AC25)</f>
        <v>12.219999999999999</v>
      </c>
      <c r="AD26" s="21">
        <f t="shared" ref="AD26" si="32">SUM(AD22:AD25)</f>
        <v>22.1</v>
      </c>
      <c r="AE26" s="23">
        <f t="shared" ref="AE26" si="33">SUM(AE22:AE25)</f>
        <v>21.59</v>
      </c>
    </row>
    <row r="27" spans="1:32" ht="30" customHeight="1" x14ac:dyDescent="0.25">
      <c r="A27" s="150"/>
      <c r="B27" s="151"/>
      <c r="C27" s="149"/>
      <c r="D27" s="149"/>
      <c r="E27" s="152"/>
      <c r="F27" s="149"/>
      <c r="G27" s="149"/>
      <c r="H27" s="149"/>
      <c r="I27" s="149"/>
      <c r="J27" s="149"/>
      <c r="K27" s="149"/>
      <c r="L27" s="149"/>
      <c r="M27" s="149"/>
      <c r="N27" s="153"/>
      <c r="O27" s="149"/>
      <c r="P27" s="149"/>
      <c r="Q27" s="149"/>
      <c r="R27" s="149"/>
      <c r="S27" s="149"/>
      <c r="T27" s="149"/>
      <c r="U27" s="149"/>
      <c r="V27" s="149"/>
      <c r="W27" s="154"/>
      <c r="X27" s="149"/>
      <c r="Y27" s="149"/>
      <c r="Z27" s="149"/>
      <c r="AA27" s="149"/>
      <c r="AB27" s="149"/>
      <c r="AC27" s="149"/>
      <c r="AD27" s="149"/>
      <c r="AE27" s="149"/>
    </row>
    <row r="28" spans="1:32" ht="30" customHeight="1" thickBot="1" x14ac:dyDescent="0.3"/>
    <row r="29" spans="1:32" ht="15.75" thickBot="1" x14ac:dyDescent="0.3">
      <c r="A29" s="42" t="s">
        <v>0</v>
      </c>
      <c r="B29" s="6"/>
      <c r="C29" s="119" t="s">
        <v>44</v>
      </c>
      <c r="D29" s="120"/>
      <c r="E29" s="120"/>
      <c r="F29" s="120"/>
      <c r="G29" s="120"/>
      <c r="H29" s="120"/>
      <c r="I29" s="120"/>
      <c r="K29" s="124" t="s">
        <v>45</v>
      </c>
      <c r="L29" s="125"/>
      <c r="M29" s="125"/>
      <c r="N29" s="125"/>
      <c r="O29" s="125"/>
      <c r="P29" s="125"/>
      <c r="Q29" s="125"/>
      <c r="R29" s="125"/>
      <c r="T29" s="114" t="s">
        <v>46</v>
      </c>
      <c r="U29" s="115"/>
      <c r="V29" s="115"/>
      <c r="W29" s="115"/>
      <c r="X29" s="140"/>
      <c r="Y29" s="141"/>
      <c r="Z29" s="141"/>
      <c r="AA29" s="141"/>
      <c r="AB29" s="141"/>
      <c r="AC29" s="141"/>
      <c r="AD29" s="141"/>
      <c r="AE29" s="141"/>
      <c r="AF29" s="142"/>
    </row>
    <row r="30" spans="1:32" ht="15.75" thickBot="1" x14ac:dyDescent="0.3">
      <c r="A30" s="45" t="s">
        <v>3</v>
      </c>
      <c r="B30" s="4"/>
      <c r="C30" s="121" t="s">
        <v>4</v>
      </c>
      <c r="D30" s="122"/>
      <c r="E30" s="123"/>
      <c r="F30" s="121" t="s">
        <v>5</v>
      </c>
      <c r="G30" s="122"/>
      <c r="H30" s="123"/>
      <c r="I30" s="75" t="s">
        <v>6</v>
      </c>
      <c r="K30" s="126" t="s">
        <v>4</v>
      </c>
      <c r="L30" s="127"/>
      <c r="M30" s="128"/>
      <c r="N30" s="126" t="s">
        <v>5</v>
      </c>
      <c r="O30" s="127"/>
      <c r="P30" s="128"/>
      <c r="Q30" s="129" t="s">
        <v>6</v>
      </c>
      <c r="R30" s="130"/>
      <c r="T30" s="116" t="s">
        <v>4</v>
      </c>
      <c r="U30" s="117"/>
      <c r="V30" s="116" t="s">
        <v>5</v>
      </c>
      <c r="W30" s="118"/>
      <c r="X30" s="143"/>
      <c r="Y30" s="144"/>
      <c r="Z30" s="144"/>
      <c r="AA30" s="143"/>
      <c r="AB30" s="144"/>
      <c r="AC30" s="144"/>
      <c r="AD30" s="143"/>
      <c r="AE30" s="144"/>
      <c r="AF30" s="142"/>
    </row>
    <row r="31" spans="1:32" ht="30" customHeight="1" thickBot="1" x14ac:dyDescent="0.3">
      <c r="A31" s="10" t="s">
        <v>7</v>
      </c>
      <c r="B31" s="4"/>
      <c r="C31" s="15" t="s">
        <v>59</v>
      </c>
      <c r="D31" s="16" t="s">
        <v>60</v>
      </c>
      <c r="E31" s="17" t="s">
        <v>61</v>
      </c>
      <c r="F31" s="15" t="s">
        <v>11</v>
      </c>
      <c r="G31" s="16" t="s">
        <v>12</v>
      </c>
      <c r="H31" s="17" t="s">
        <v>13</v>
      </c>
      <c r="I31" s="18" t="s">
        <v>14</v>
      </c>
      <c r="K31" s="15" t="s">
        <v>56</v>
      </c>
      <c r="L31" s="16" t="s">
        <v>9</v>
      </c>
      <c r="M31" s="17" t="s">
        <v>57</v>
      </c>
      <c r="N31" s="15" t="s">
        <v>58</v>
      </c>
      <c r="O31" s="16" t="s">
        <v>62</v>
      </c>
      <c r="P31" s="17" t="s">
        <v>63</v>
      </c>
      <c r="Q31" s="15" t="s">
        <v>64</v>
      </c>
      <c r="R31" s="17" t="s">
        <v>65</v>
      </c>
      <c r="T31" s="15" t="s">
        <v>8</v>
      </c>
      <c r="U31" s="16" t="s">
        <v>9</v>
      </c>
      <c r="V31" s="15" t="s">
        <v>58</v>
      </c>
      <c r="W31" s="17" t="s">
        <v>62</v>
      </c>
      <c r="X31" s="145"/>
      <c r="Y31" s="145"/>
      <c r="Z31" s="145"/>
      <c r="AA31" s="145"/>
      <c r="AB31" s="145"/>
      <c r="AC31" s="145"/>
      <c r="AD31" s="145"/>
      <c r="AE31" s="145"/>
      <c r="AF31" s="142"/>
    </row>
    <row r="32" spans="1:32" ht="15.75" thickBot="1" x14ac:dyDescent="0.3">
      <c r="A32" s="46" t="s">
        <v>16</v>
      </c>
      <c r="B32" s="4"/>
      <c r="C32" s="66" t="s">
        <v>19</v>
      </c>
      <c r="D32" s="67" t="s">
        <v>20</v>
      </c>
      <c r="E32" s="68" t="s">
        <v>18</v>
      </c>
      <c r="F32" s="66" t="s">
        <v>19</v>
      </c>
      <c r="G32" s="67" t="s">
        <v>20</v>
      </c>
      <c r="H32" s="68" t="s">
        <v>18</v>
      </c>
      <c r="I32" s="76" t="s">
        <v>17</v>
      </c>
      <c r="K32" s="79" t="s">
        <v>18</v>
      </c>
      <c r="L32" s="80" t="s">
        <v>20</v>
      </c>
      <c r="M32" s="81" t="s">
        <v>19</v>
      </c>
      <c r="N32" s="79" t="s">
        <v>18</v>
      </c>
      <c r="O32" s="80" t="s">
        <v>20</v>
      </c>
      <c r="P32" s="81" t="s">
        <v>19</v>
      </c>
      <c r="Q32" s="79" t="s">
        <v>18</v>
      </c>
      <c r="R32" s="81" t="s">
        <v>18</v>
      </c>
      <c r="T32" s="88" t="s">
        <v>19</v>
      </c>
      <c r="U32" s="89" t="s">
        <v>19</v>
      </c>
      <c r="V32" s="88" t="s">
        <v>19</v>
      </c>
      <c r="W32" s="90" t="s">
        <v>19</v>
      </c>
      <c r="X32" s="146"/>
      <c r="Y32" s="146"/>
      <c r="Z32" s="146"/>
      <c r="AA32" s="146"/>
      <c r="AB32" s="146"/>
      <c r="AC32" s="146"/>
      <c r="AD32" s="146"/>
      <c r="AE32" s="146"/>
      <c r="AF32" s="142"/>
    </row>
    <row r="33" spans="1:32" ht="15.75" thickBot="1" x14ac:dyDescent="0.3">
      <c r="A33" s="10" t="s">
        <v>21</v>
      </c>
      <c r="B33" s="12"/>
      <c r="C33" s="7"/>
      <c r="D33" s="8"/>
      <c r="E33" s="9"/>
      <c r="F33" s="7"/>
      <c r="G33" s="8"/>
      <c r="H33" s="9"/>
      <c r="I33" s="10"/>
      <c r="K33" s="7"/>
      <c r="L33" s="8"/>
      <c r="M33" s="9"/>
      <c r="N33" s="7"/>
      <c r="O33" s="8"/>
      <c r="P33" s="9"/>
      <c r="Q33" s="7"/>
      <c r="R33" s="9"/>
      <c r="T33" s="7"/>
      <c r="U33" s="8"/>
      <c r="V33" s="7"/>
      <c r="W33" s="9"/>
      <c r="X33" s="147"/>
      <c r="Y33" s="147"/>
      <c r="Z33" s="147"/>
      <c r="AA33" s="147"/>
      <c r="AB33" s="147"/>
      <c r="AC33" s="147"/>
      <c r="AD33" s="147"/>
      <c r="AE33" s="147"/>
      <c r="AF33" s="142"/>
    </row>
    <row r="34" spans="1:32" x14ac:dyDescent="0.25">
      <c r="A34" s="43" t="s">
        <v>34</v>
      </c>
      <c r="B34" s="4"/>
      <c r="C34" s="69">
        <v>3.41</v>
      </c>
      <c r="D34" s="70">
        <v>1.98</v>
      </c>
      <c r="E34" s="71">
        <v>6.44</v>
      </c>
      <c r="F34" s="69">
        <v>3.42</v>
      </c>
      <c r="G34" s="70">
        <v>1.98</v>
      </c>
      <c r="H34" s="71">
        <v>6.44</v>
      </c>
      <c r="I34" s="77">
        <v>5.78</v>
      </c>
      <c r="K34" s="82">
        <v>6.5</v>
      </c>
      <c r="L34" s="83">
        <v>3.39</v>
      </c>
      <c r="M34" s="84">
        <v>5.05</v>
      </c>
      <c r="N34" s="82">
        <v>7.12</v>
      </c>
      <c r="O34" s="83">
        <v>3.39</v>
      </c>
      <c r="P34" s="84">
        <v>5.0199999999999996</v>
      </c>
      <c r="Q34" s="82">
        <v>2.77</v>
      </c>
      <c r="R34" s="84">
        <v>3.19</v>
      </c>
      <c r="T34" s="91">
        <v>6.46</v>
      </c>
      <c r="U34" s="92">
        <v>6.45</v>
      </c>
      <c r="V34" s="91">
        <v>6.31</v>
      </c>
      <c r="W34" s="93">
        <v>6.31</v>
      </c>
      <c r="X34" s="148"/>
      <c r="Y34" s="148"/>
      <c r="Z34" s="148"/>
      <c r="AA34" s="148"/>
      <c r="AB34" s="148"/>
      <c r="AC34" s="148"/>
      <c r="AD34" s="148"/>
      <c r="AE34" s="148"/>
      <c r="AF34" s="142"/>
    </row>
    <row r="35" spans="1:32" x14ac:dyDescent="0.25">
      <c r="A35" s="11" t="s">
        <v>22</v>
      </c>
      <c r="B35" s="4"/>
      <c r="C35" s="26">
        <v>28.62</v>
      </c>
      <c r="D35" s="27">
        <v>26.74</v>
      </c>
      <c r="E35" s="28">
        <v>30.521000000000001</v>
      </c>
      <c r="F35" s="26">
        <v>28.62</v>
      </c>
      <c r="G35" s="27">
        <v>26.74</v>
      </c>
      <c r="H35" s="28">
        <v>30.52</v>
      </c>
      <c r="I35" s="24">
        <v>37.47</v>
      </c>
      <c r="K35" s="26">
        <v>30.45</v>
      </c>
      <c r="L35" s="27">
        <v>25.2</v>
      </c>
      <c r="M35" s="28">
        <v>26.67</v>
      </c>
      <c r="N35" s="26">
        <v>30.12</v>
      </c>
      <c r="O35" s="27">
        <v>25.2</v>
      </c>
      <c r="P35" s="28">
        <v>26.67</v>
      </c>
      <c r="Q35" s="26">
        <v>34.880000000000003</v>
      </c>
      <c r="R35" s="28">
        <v>35.5</v>
      </c>
      <c r="T35" s="26">
        <v>28.19</v>
      </c>
      <c r="U35" s="27">
        <v>28.43</v>
      </c>
      <c r="V35" s="26">
        <v>27.94</v>
      </c>
      <c r="W35" s="28">
        <v>28.18</v>
      </c>
      <c r="X35" s="148"/>
      <c r="Y35" s="148"/>
      <c r="Z35" s="148"/>
      <c r="AA35" s="148"/>
      <c r="AB35" s="148"/>
      <c r="AC35" s="148"/>
      <c r="AD35" s="148"/>
      <c r="AE35" s="148"/>
      <c r="AF35" s="142"/>
    </row>
    <row r="36" spans="1:32" x14ac:dyDescent="0.25">
      <c r="A36" s="43" t="s">
        <v>23</v>
      </c>
      <c r="B36" s="4"/>
      <c r="C36" s="72">
        <v>11.98</v>
      </c>
      <c r="D36" s="73">
        <v>12.64</v>
      </c>
      <c r="E36" s="74">
        <v>12.05</v>
      </c>
      <c r="F36" s="72">
        <v>11.98</v>
      </c>
      <c r="G36" s="73">
        <v>12.64</v>
      </c>
      <c r="H36" s="74">
        <v>12.05</v>
      </c>
      <c r="I36" s="78">
        <v>15.54</v>
      </c>
      <c r="K36" s="85">
        <v>12.54</v>
      </c>
      <c r="L36" s="86">
        <v>12.56</v>
      </c>
      <c r="M36" s="87">
        <v>11.43</v>
      </c>
      <c r="N36" s="85">
        <v>11.99</v>
      </c>
      <c r="O36" s="86">
        <v>12.56</v>
      </c>
      <c r="P36" s="87">
        <v>11.28</v>
      </c>
      <c r="Q36" s="85">
        <v>10.63</v>
      </c>
      <c r="R36" s="87">
        <v>10.56</v>
      </c>
      <c r="T36" s="94">
        <v>11.65</v>
      </c>
      <c r="U36" s="95">
        <v>11.69</v>
      </c>
      <c r="V36" s="94">
        <v>11.6</v>
      </c>
      <c r="W36" s="96">
        <v>11.6</v>
      </c>
      <c r="X36" s="148"/>
      <c r="Y36" s="148"/>
      <c r="Z36" s="148"/>
      <c r="AA36" s="148"/>
      <c r="AB36" s="148"/>
      <c r="AC36" s="148"/>
      <c r="AD36" s="148"/>
      <c r="AE36" s="148"/>
      <c r="AF36" s="142"/>
    </row>
    <row r="37" spans="1:32" x14ac:dyDescent="0.25">
      <c r="A37" s="11" t="s">
        <v>24</v>
      </c>
      <c r="B37" s="4"/>
      <c r="C37" s="26">
        <v>11.65</v>
      </c>
      <c r="D37" s="27"/>
      <c r="E37" s="28">
        <v>11.11</v>
      </c>
      <c r="F37" s="26">
        <v>11.65</v>
      </c>
      <c r="G37" s="27"/>
      <c r="H37" s="28">
        <v>11.11</v>
      </c>
      <c r="I37" s="24">
        <v>13.15</v>
      </c>
      <c r="K37" s="26">
        <v>11.59</v>
      </c>
      <c r="L37" s="27"/>
      <c r="M37" s="28">
        <v>12.28</v>
      </c>
      <c r="N37" s="26">
        <v>10.26</v>
      </c>
      <c r="O37" s="27"/>
      <c r="P37" s="28">
        <v>12.14</v>
      </c>
      <c r="Q37" s="26">
        <v>10.42</v>
      </c>
      <c r="R37" s="28">
        <v>10.74</v>
      </c>
      <c r="T37" s="26">
        <v>10.44</v>
      </c>
      <c r="U37" s="27">
        <v>10.4</v>
      </c>
      <c r="V37" s="26">
        <v>10.44</v>
      </c>
      <c r="W37" s="28">
        <v>10.44</v>
      </c>
      <c r="X37" s="148"/>
      <c r="Y37" s="148"/>
      <c r="Z37" s="148"/>
      <c r="AA37" s="148"/>
      <c r="AB37" s="148"/>
      <c r="AC37" s="148"/>
      <c r="AD37" s="148"/>
      <c r="AE37" s="148"/>
      <c r="AF37" s="142"/>
    </row>
    <row r="38" spans="1:32" x14ac:dyDescent="0.25">
      <c r="A38" s="43" t="s">
        <v>25</v>
      </c>
      <c r="B38" s="4"/>
      <c r="C38" s="72"/>
      <c r="D38" s="73"/>
      <c r="E38" s="74">
        <v>10.32</v>
      </c>
      <c r="F38" s="72"/>
      <c r="G38" s="73"/>
      <c r="H38" s="74">
        <v>10.32</v>
      </c>
      <c r="I38" s="78">
        <v>12.59</v>
      </c>
      <c r="K38" s="85">
        <v>12.66</v>
      </c>
      <c r="L38" s="86"/>
      <c r="M38" s="87"/>
      <c r="N38" s="85">
        <v>12.55</v>
      </c>
      <c r="O38" s="86"/>
      <c r="P38" s="87"/>
      <c r="Q38" s="85">
        <v>10.42</v>
      </c>
      <c r="R38" s="87">
        <v>11.47</v>
      </c>
      <c r="T38" s="94"/>
      <c r="U38" s="95"/>
      <c r="V38" s="94"/>
      <c r="W38" s="96"/>
      <c r="X38" s="148"/>
      <c r="Y38" s="148"/>
      <c r="Z38" s="148"/>
      <c r="AA38" s="148"/>
      <c r="AB38" s="148"/>
      <c r="AC38" s="148"/>
      <c r="AD38" s="148"/>
      <c r="AE38" s="148"/>
      <c r="AF38" s="142"/>
    </row>
    <row r="39" spans="1:32" x14ac:dyDescent="0.25">
      <c r="A39" s="11" t="s">
        <v>26</v>
      </c>
      <c r="B39" s="4"/>
      <c r="C39" s="26"/>
      <c r="D39" s="27"/>
      <c r="E39" s="28"/>
      <c r="F39" s="26"/>
      <c r="G39" s="27"/>
      <c r="H39" s="28"/>
      <c r="I39" s="24">
        <v>11.64</v>
      </c>
      <c r="K39" s="26"/>
      <c r="L39" s="27"/>
      <c r="M39" s="28"/>
      <c r="N39" s="26"/>
      <c r="O39" s="27"/>
      <c r="P39" s="28"/>
      <c r="Q39" s="26"/>
      <c r="R39" s="28"/>
      <c r="T39" s="26"/>
      <c r="U39" s="27"/>
      <c r="V39" s="26"/>
      <c r="W39" s="28"/>
      <c r="X39" s="148"/>
      <c r="Y39" s="148"/>
      <c r="Z39" s="148"/>
      <c r="AA39" s="148"/>
      <c r="AB39" s="148"/>
      <c r="AC39" s="148"/>
      <c r="AD39" s="148"/>
      <c r="AE39" s="148"/>
      <c r="AF39" s="142"/>
    </row>
    <row r="40" spans="1:32" x14ac:dyDescent="0.25">
      <c r="A40" s="43" t="s">
        <v>35</v>
      </c>
      <c r="B40" s="4"/>
      <c r="C40" s="72">
        <v>3.51</v>
      </c>
      <c r="D40" s="73"/>
      <c r="E40" s="74">
        <v>3.15</v>
      </c>
      <c r="F40" s="72">
        <v>3.51</v>
      </c>
      <c r="G40" s="73"/>
      <c r="H40" s="74">
        <v>3.15</v>
      </c>
      <c r="I40" s="78">
        <v>3.84</v>
      </c>
      <c r="K40" s="85">
        <v>3.48</v>
      </c>
      <c r="L40" s="86"/>
      <c r="M40" s="87">
        <v>3.76</v>
      </c>
      <c r="N40" s="85">
        <v>3.4</v>
      </c>
      <c r="O40" s="86"/>
      <c r="P40" s="87">
        <v>3.57</v>
      </c>
      <c r="Q40" s="85">
        <v>5.49</v>
      </c>
      <c r="R40" s="87">
        <v>2.72</v>
      </c>
      <c r="T40" s="94"/>
      <c r="U40" s="95"/>
      <c r="V40" s="94"/>
      <c r="W40" s="96"/>
      <c r="X40" s="148"/>
      <c r="Y40" s="148"/>
      <c r="Z40" s="148"/>
      <c r="AA40" s="148"/>
      <c r="AB40" s="148"/>
      <c r="AC40" s="148"/>
      <c r="AD40" s="148"/>
      <c r="AE40" s="148"/>
      <c r="AF40" s="142"/>
    </row>
    <row r="41" spans="1:32" x14ac:dyDescent="0.25">
      <c r="A41" s="11" t="s">
        <v>36</v>
      </c>
      <c r="B41" s="4"/>
      <c r="C41" s="26"/>
      <c r="D41" s="27"/>
      <c r="E41" s="28"/>
      <c r="F41" s="26"/>
      <c r="G41" s="27"/>
      <c r="H41" s="28"/>
      <c r="I41" s="24"/>
      <c r="K41" s="26">
        <v>5.45</v>
      </c>
      <c r="L41" s="27"/>
      <c r="M41" s="28"/>
      <c r="N41" s="26"/>
      <c r="O41" s="27"/>
      <c r="P41" s="28"/>
      <c r="Q41" s="26"/>
      <c r="R41" s="28"/>
      <c r="T41" s="26"/>
      <c r="U41" s="27"/>
      <c r="V41" s="26"/>
      <c r="W41" s="28"/>
      <c r="X41" s="148"/>
      <c r="Y41" s="148"/>
      <c r="Z41" s="148"/>
      <c r="AA41" s="148"/>
      <c r="AB41" s="148"/>
      <c r="AC41" s="148"/>
      <c r="AD41" s="148"/>
      <c r="AE41" s="148"/>
      <c r="AF41" s="142"/>
    </row>
    <row r="42" spans="1:32" x14ac:dyDescent="0.25">
      <c r="A42" s="43" t="s">
        <v>37</v>
      </c>
      <c r="B42" s="4"/>
      <c r="C42" s="72">
        <v>4.87</v>
      </c>
      <c r="D42" s="73">
        <v>4.71</v>
      </c>
      <c r="E42" s="74"/>
      <c r="F42" s="72">
        <v>4.87</v>
      </c>
      <c r="G42" s="73">
        <v>4.71</v>
      </c>
      <c r="H42" s="74"/>
      <c r="I42" s="78"/>
      <c r="K42" s="85"/>
      <c r="L42" s="86">
        <v>4.71</v>
      </c>
      <c r="M42" s="87">
        <v>4.9000000000000004</v>
      </c>
      <c r="N42" s="85"/>
      <c r="O42" s="86">
        <v>4.71</v>
      </c>
      <c r="P42" s="87">
        <v>4.68</v>
      </c>
      <c r="Q42" s="85">
        <v>2.58</v>
      </c>
      <c r="R42" s="87">
        <v>3.07</v>
      </c>
      <c r="T42" s="94">
        <v>5.41</v>
      </c>
      <c r="U42" s="95">
        <v>5.33</v>
      </c>
      <c r="V42" s="94">
        <v>5.41</v>
      </c>
      <c r="W42" s="96">
        <v>5.3</v>
      </c>
      <c r="X42" s="148"/>
      <c r="Y42" s="148"/>
      <c r="Z42" s="148"/>
      <c r="AA42" s="148"/>
      <c r="AB42" s="148"/>
      <c r="AC42" s="148"/>
      <c r="AD42" s="148"/>
      <c r="AE42" s="148"/>
      <c r="AF42" s="142"/>
    </row>
    <row r="43" spans="1:32" x14ac:dyDescent="0.25">
      <c r="A43" s="11" t="s">
        <v>40</v>
      </c>
      <c r="B43" s="4"/>
      <c r="C43" s="26"/>
      <c r="D43" s="27"/>
      <c r="E43" s="28"/>
      <c r="F43" s="26"/>
      <c r="G43" s="27"/>
      <c r="H43" s="28"/>
      <c r="I43" s="24"/>
      <c r="K43" s="26"/>
      <c r="L43" s="27"/>
      <c r="M43" s="28"/>
      <c r="N43" s="26"/>
      <c r="O43" s="27"/>
      <c r="P43" s="28"/>
      <c r="Q43" s="26"/>
      <c r="R43" s="28"/>
      <c r="T43" s="26"/>
      <c r="U43" s="27"/>
      <c r="V43" s="26"/>
      <c r="W43" s="28"/>
      <c r="X43" s="148"/>
      <c r="Y43" s="148"/>
      <c r="Z43" s="148"/>
      <c r="AA43" s="148"/>
      <c r="AB43" s="148"/>
      <c r="AC43" s="148"/>
      <c r="AD43" s="148"/>
      <c r="AE43" s="148"/>
      <c r="AF43" s="142"/>
    </row>
    <row r="44" spans="1:32" x14ac:dyDescent="0.25">
      <c r="A44" s="43" t="s">
        <v>41</v>
      </c>
      <c r="B44" s="4"/>
      <c r="C44" s="72"/>
      <c r="D44" s="73"/>
      <c r="E44" s="74">
        <v>5.57</v>
      </c>
      <c r="F44" s="72"/>
      <c r="G44" s="73"/>
      <c r="H44" s="74">
        <v>5.57</v>
      </c>
      <c r="I44" s="78">
        <f>3.87+5.75</f>
        <v>9.620000000000001</v>
      </c>
      <c r="K44" s="85"/>
      <c r="L44" s="86"/>
      <c r="M44" s="87"/>
      <c r="N44" s="85">
        <v>5.62</v>
      </c>
      <c r="O44" s="86"/>
      <c r="P44" s="87"/>
      <c r="Q44" s="85">
        <v>5.39</v>
      </c>
      <c r="R44" s="87">
        <v>5.38</v>
      </c>
      <c r="T44" s="94"/>
      <c r="U44" s="95"/>
      <c r="V44" s="94"/>
      <c r="W44" s="96"/>
      <c r="X44" s="148"/>
      <c r="Y44" s="148"/>
      <c r="Z44" s="148"/>
      <c r="AA44" s="148"/>
      <c r="AB44" s="148"/>
      <c r="AC44" s="148"/>
      <c r="AD44" s="148"/>
      <c r="AE44" s="148"/>
      <c r="AF44" s="142"/>
    </row>
    <row r="45" spans="1:32" x14ac:dyDescent="0.25">
      <c r="A45" s="11" t="s">
        <v>38</v>
      </c>
      <c r="B45" s="4"/>
      <c r="C45" s="26">
        <v>1.56</v>
      </c>
      <c r="D45" s="27">
        <v>1.47</v>
      </c>
      <c r="E45" s="28">
        <v>1.39</v>
      </c>
      <c r="F45" s="26">
        <v>1.56</v>
      </c>
      <c r="G45" s="27">
        <v>1.47</v>
      </c>
      <c r="H45" s="28">
        <v>1.39</v>
      </c>
      <c r="I45" s="24">
        <v>1.73</v>
      </c>
      <c r="K45" s="26">
        <v>1.43</v>
      </c>
      <c r="L45" s="27">
        <v>1.47</v>
      </c>
      <c r="M45" s="28">
        <v>1.63</v>
      </c>
      <c r="N45" s="26">
        <v>1.72</v>
      </c>
      <c r="O45" s="27">
        <v>1.47</v>
      </c>
      <c r="P45" s="28">
        <v>1.56</v>
      </c>
      <c r="Q45" s="26">
        <v>1.57</v>
      </c>
      <c r="R45" s="28">
        <v>1.29</v>
      </c>
      <c r="T45" s="26">
        <v>1.58</v>
      </c>
      <c r="U45" s="27">
        <v>1.61</v>
      </c>
      <c r="V45" s="26">
        <v>1.61</v>
      </c>
      <c r="W45" s="28">
        <v>1.61</v>
      </c>
      <c r="X45" s="148"/>
      <c r="Y45" s="148"/>
      <c r="Z45" s="148"/>
      <c r="AA45" s="148"/>
      <c r="AB45" s="148"/>
      <c r="AC45" s="148"/>
      <c r="AD45" s="148"/>
      <c r="AE45" s="148"/>
      <c r="AF45" s="142"/>
    </row>
    <row r="46" spans="1:32" x14ac:dyDescent="0.25">
      <c r="A46" s="44" t="s">
        <v>39</v>
      </c>
      <c r="B46" s="4"/>
      <c r="C46" s="69"/>
      <c r="D46" s="70">
        <v>0.54</v>
      </c>
      <c r="E46" s="71">
        <v>0.99</v>
      </c>
      <c r="F46" s="69"/>
      <c r="G46" s="70">
        <v>0.54</v>
      </c>
      <c r="H46" s="71">
        <v>0.99</v>
      </c>
      <c r="I46" s="77">
        <v>1.52</v>
      </c>
      <c r="K46" s="82">
        <v>1.1000000000000001</v>
      </c>
      <c r="L46" s="83">
        <v>0.48</v>
      </c>
      <c r="M46" s="84"/>
      <c r="N46" s="82">
        <f>0.44+0.7</f>
        <v>1.1399999999999999</v>
      </c>
      <c r="O46" s="83">
        <v>0.54</v>
      </c>
      <c r="P46" s="84"/>
      <c r="Q46" s="82">
        <v>0.91</v>
      </c>
      <c r="R46" s="84">
        <v>0.98</v>
      </c>
      <c r="T46" s="91"/>
      <c r="U46" s="92"/>
      <c r="V46" s="91"/>
      <c r="W46" s="93"/>
      <c r="X46" s="148"/>
      <c r="Y46" s="148"/>
      <c r="Z46" s="148"/>
      <c r="AA46" s="148"/>
      <c r="AB46" s="148"/>
      <c r="AC46" s="148"/>
      <c r="AD46" s="148"/>
      <c r="AE46" s="148"/>
      <c r="AF46" s="142"/>
    </row>
    <row r="47" spans="1:32" x14ac:dyDescent="0.25">
      <c r="A47" s="11" t="s">
        <v>42</v>
      </c>
      <c r="B47" s="4"/>
      <c r="C47" s="26">
        <v>1.66</v>
      </c>
      <c r="D47" s="27"/>
      <c r="E47" s="28">
        <v>2.8</v>
      </c>
      <c r="F47" s="26">
        <v>1.66</v>
      </c>
      <c r="G47" s="27"/>
      <c r="H47" s="28">
        <v>2.8</v>
      </c>
      <c r="I47" s="24">
        <v>0.71</v>
      </c>
      <c r="K47" s="26"/>
      <c r="L47" s="27"/>
      <c r="M47" s="28">
        <v>1.61</v>
      </c>
      <c r="N47" s="26"/>
      <c r="O47" s="27"/>
      <c r="P47" s="28">
        <v>1.66</v>
      </c>
      <c r="Q47" s="26"/>
      <c r="R47" s="28"/>
      <c r="T47" s="26">
        <v>2</v>
      </c>
      <c r="U47" s="27">
        <v>2.2400000000000002</v>
      </c>
      <c r="V47" s="26">
        <v>1.89</v>
      </c>
      <c r="W47" s="28">
        <v>2.19</v>
      </c>
      <c r="X47" s="148"/>
      <c r="Y47" s="148"/>
      <c r="Z47" s="148"/>
      <c r="AA47" s="148"/>
      <c r="AB47" s="148"/>
      <c r="AC47" s="148"/>
      <c r="AD47" s="148"/>
      <c r="AE47" s="148"/>
      <c r="AF47" s="142"/>
    </row>
    <row r="48" spans="1:32" ht="15.75" thickBot="1" x14ac:dyDescent="0.3">
      <c r="A48" s="43" t="s">
        <v>27</v>
      </c>
      <c r="B48" s="4"/>
      <c r="C48" s="72">
        <v>0.95</v>
      </c>
      <c r="D48" s="73"/>
      <c r="E48" s="74">
        <v>1.83</v>
      </c>
      <c r="F48" s="72">
        <v>0.95</v>
      </c>
      <c r="G48" s="73"/>
      <c r="H48" s="74">
        <v>1.83</v>
      </c>
      <c r="I48" s="78">
        <v>1.35</v>
      </c>
      <c r="K48" s="85">
        <v>2.41</v>
      </c>
      <c r="L48" s="86"/>
      <c r="M48" s="87">
        <v>1.22</v>
      </c>
      <c r="N48" s="85">
        <v>2.06</v>
      </c>
      <c r="O48" s="86"/>
      <c r="P48" s="87">
        <v>1.42</v>
      </c>
      <c r="Q48" s="85">
        <v>1.7</v>
      </c>
      <c r="R48" s="87">
        <v>1.3</v>
      </c>
      <c r="T48" s="94">
        <v>0.96</v>
      </c>
      <c r="U48" s="95">
        <v>0.96</v>
      </c>
      <c r="V48" s="94">
        <v>1.06</v>
      </c>
      <c r="W48" s="96">
        <v>1.01</v>
      </c>
      <c r="X48" s="148"/>
      <c r="Y48" s="148"/>
      <c r="Z48" s="148"/>
      <c r="AA48" s="148"/>
      <c r="AB48" s="148"/>
      <c r="AC48" s="148"/>
      <c r="AD48" s="148"/>
      <c r="AE48" s="148"/>
      <c r="AF48" s="142"/>
    </row>
    <row r="49" spans="1:32" ht="30" customHeight="1" thickBot="1" x14ac:dyDescent="0.3">
      <c r="A49" s="13" t="s">
        <v>28</v>
      </c>
      <c r="B49" s="5"/>
      <c r="C49" s="21">
        <f t="shared" ref="C49:I49" si="34">SUM(C34:C48)</f>
        <v>68.210000000000008</v>
      </c>
      <c r="D49" s="22">
        <f t="shared" si="34"/>
        <v>48.08</v>
      </c>
      <c r="E49" s="23">
        <f t="shared" si="34"/>
        <v>86.170999999999992</v>
      </c>
      <c r="F49" s="21">
        <f t="shared" si="34"/>
        <v>68.22</v>
      </c>
      <c r="G49" s="22">
        <f t="shared" si="34"/>
        <v>48.08</v>
      </c>
      <c r="H49" s="23">
        <f t="shared" si="34"/>
        <v>86.169999999999987</v>
      </c>
      <c r="I49" s="19">
        <f t="shared" si="34"/>
        <v>114.94</v>
      </c>
      <c r="K49" s="21">
        <f>SUM(K34:K48)</f>
        <v>87.61</v>
      </c>
      <c r="L49" s="22">
        <f t="shared" ref="L49:R49" si="35">SUM(L34:L48)</f>
        <v>47.809999999999995</v>
      </c>
      <c r="M49" s="23">
        <f t="shared" si="35"/>
        <v>68.55</v>
      </c>
      <c r="N49" s="21">
        <f t="shared" si="35"/>
        <v>85.980000000000018</v>
      </c>
      <c r="O49" s="22">
        <f t="shared" si="35"/>
        <v>47.87</v>
      </c>
      <c r="P49" s="23">
        <f t="shared" si="35"/>
        <v>68</v>
      </c>
      <c r="Q49" s="21">
        <f t="shared" si="35"/>
        <v>86.759999999999991</v>
      </c>
      <c r="R49" s="23">
        <f t="shared" si="35"/>
        <v>86.2</v>
      </c>
      <c r="T49" s="21">
        <f t="shared" ref="T49:W49" si="36">SUM(T34:T48)</f>
        <v>66.689999999999984</v>
      </c>
      <c r="U49" s="22">
        <f t="shared" si="36"/>
        <v>67.109999999999985</v>
      </c>
      <c r="V49" s="21">
        <f t="shared" si="36"/>
        <v>66.260000000000005</v>
      </c>
      <c r="W49" s="23">
        <f t="shared" si="36"/>
        <v>66.64</v>
      </c>
      <c r="X49" s="149"/>
      <c r="Y49" s="149"/>
      <c r="Z49" s="149"/>
      <c r="AA49" s="149"/>
      <c r="AB49" s="149"/>
      <c r="AC49" s="149"/>
      <c r="AD49" s="149"/>
      <c r="AE49" s="149"/>
      <c r="AF49" s="142"/>
    </row>
    <row r="50" spans="1:32" x14ac:dyDescent="0.25">
      <c r="A50" s="11" t="s">
        <v>29</v>
      </c>
      <c r="B50" s="4"/>
      <c r="C50" s="26">
        <v>36.76</v>
      </c>
      <c r="D50" s="27">
        <v>28.98</v>
      </c>
      <c r="E50" s="28">
        <v>41.62</v>
      </c>
      <c r="F50" s="26"/>
      <c r="G50" s="27"/>
      <c r="H50" s="28"/>
      <c r="I50" s="24"/>
      <c r="K50" s="26">
        <v>26.33</v>
      </c>
      <c r="L50" s="27">
        <v>22.85</v>
      </c>
      <c r="M50" s="28">
        <v>22.77</v>
      </c>
      <c r="N50" s="26"/>
      <c r="O50" s="27"/>
      <c r="P50" s="28"/>
      <c r="Q50" s="26"/>
      <c r="R50" s="28"/>
      <c r="T50" s="26">
        <v>39.299999999999997</v>
      </c>
      <c r="U50" s="27">
        <v>25.42</v>
      </c>
      <c r="V50" s="26"/>
      <c r="W50" s="28"/>
      <c r="X50" s="148"/>
      <c r="Y50" s="148"/>
      <c r="Z50" s="148"/>
      <c r="AA50" s="148"/>
      <c r="AB50" s="148"/>
      <c r="AC50" s="148"/>
      <c r="AD50" s="148"/>
      <c r="AE50" s="148"/>
      <c r="AF50" s="142"/>
    </row>
    <row r="51" spans="1:32" x14ac:dyDescent="0.25">
      <c r="A51" s="43" t="s">
        <v>30</v>
      </c>
      <c r="B51" s="4"/>
      <c r="C51" s="72">
        <v>14.95</v>
      </c>
      <c r="D51" s="73">
        <v>10.29</v>
      </c>
      <c r="E51" s="74">
        <v>14.54</v>
      </c>
      <c r="F51" s="72"/>
      <c r="G51" s="73"/>
      <c r="H51" s="74"/>
      <c r="I51" s="78">
        <v>114.45</v>
      </c>
      <c r="K51" s="85">
        <v>15.51</v>
      </c>
      <c r="L51" s="86">
        <v>10.199999999999999</v>
      </c>
      <c r="M51" s="87">
        <v>14.39</v>
      </c>
      <c r="N51" s="85"/>
      <c r="O51" s="86"/>
      <c r="P51" s="87"/>
      <c r="Q51" s="85">
        <v>25.79</v>
      </c>
      <c r="R51" s="87">
        <v>28.35</v>
      </c>
      <c r="T51" s="94">
        <v>12.51</v>
      </c>
      <c r="U51" s="95">
        <v>12.46</v>
      </c>
      <c r="V51" s="94"/>
      <c r="W51" s="96"/>
      <c r="X51" s="148"/>
      <c r="Y51" s="148"/>
      <c r="Z51" s="148"/>
      <c r="AA51" s="148"/>
      <c r="AB51" s="148"/>
      <c r="AC51" s="148"/>
      <c r="AD51" s="148"/>
      <c r="AE51" s="148"/>
      <c r="AF51" s="142"/>
    </row>
    <row r="52" spans="1:32" x14ac:dyDescent="0.25">
      <c r="A52" s="11" t="s">
        <v>31</v>
      </c>
      <c r="B52" s="4"/>
      <c r="C52" s="26"/>
      <c r="D52" s="27"/>
      <c r="E52" s="28"/>
      <c r="F52" s="26">
        <v>10.43</v>
      </c>
      <c r="G52" s="27">
        <v>10.25</v>
      </c>
      <c r="H52" s="28">
        <v>10.119999999999999</v>
      </c>
      <c r="I52" s="24"/>
      <c r="K52" s="26"/>
      <c r="L52" s="27"/>
      <c r="M52" s="28"/>
      <c r="N52" s="26">
        <v>10.67</v>
      </c>
      <c r="O52" s="27">
        <v>10.29</v>
      </c>
      <c r="P52" s="28">
        <v>10.119999999999999</v>
      </c>
      <c r="Q52" s="26"/>
      <c r="R52" s="28"/>
      <c r="T52" s="26"/>
      <c r="U52" s="27"/>
      <c r="V52" s="26">
        <v>13.39</v>
      </c>
      <c r="W52" s="28">
        <v>13.33</v>
      </c>
      <c r="X52" s="148"/>
      <c r="Y52" s="148"/>
      <c r="Z52" s="148"/>
      <c r="AA52" s="148"/>
      <c r="AB52" s="148"/>
      <c r="AC52" s="148"/>
      <c r="AD52" s="148"/>
      <c r="AE52" s="148"/>
      <c r="AF52" s="142"/>
    </row>
    <row r="53" spans="1:32" ht="15.75" thickBot="1" x14ac:dyDescent="0.3">
      <c r="A53" s="43" t="s">
        <v>43</v>
      </c>
      <c r="B53" s="4"/>
      <c r="C53" s="72">
        <v>2.1800000000000002</v>
      </c>
      <c r="D53" s="73">
        <v>1.86</v>
      </c>
      <c r="E53" s="74">
        <v>1.84</v>
      </c>
      <c r="F53" s="72">
        <v>2.23</v>
      </c>
      <c r="G53" s="73">
        <v>1.91</v>
      </c>
      <c r="H53" s="74">
        <v>2</v>
      </c>
      <c r="I53" s="78">
        <f>1.84+11.86</f>
        <v>13.7</v>
      </c>
      <c r="K53" s="85">
        <v>1.72</v>
      </c>
      <c r="L53" s="86">
        <v>1.66</v>
      </c>
      <c r="M53" s="87">
        <v>1.82</v>
      </c>
      <c r="N53" s="85">
        <v>1.72</v>
      </c>
      <c r="O53" s="86">
        <v>1.66</v>
      </c>
      <c r="P53" s="87">
        <v>1.82</v>
      </c>
      <c r="Q53" s="85">
        <f>1.64*2</f>
        <v>3.28</v>
      </c>
      <c r="R53" s="87">
        <v>1.96</v>
      </c>
      <c r="T53" s="94">
        <v>1.79</v>
      </c>
      <c r="U53" s="95">
        <v>1.84</v>
      </c>
      <c r="V53" s="94">
        <v>1.91</v>
      </c>
      <c r="W53" s="96">
        <v>1.97</v>
      </c>
      <c r="X53" s="148"/>
      <c r="Y53" s="148"/>
      <c r="Z53" s="148"/>
      <c r="AA53" s="148"/>
      <c r="AB53" s="148"/>
      <c r="AC53" s="148"/>
      <c r="AD53" s="148"/>
      <c r="AE53" s="148"/>
      <c r="AF53" s="142"/>
    </row>
    <row r="54" spans="1:32" ht="30" customHeight="1" thickBot="1" x14ac:dyDescent="0.3">
      <c r="A54" s="14" t="s">
        <v>32</v>
      </c>
      <c r="B54" s="5"/>
      <c r="C54" s="21">
        <f t="shared" ref="C54:I54" si="37">SUM(C50:C53)</f>
        <v>53.889999999999993</v>
      </c>
      <c r="D54" s="22">
        <f t="shared" si="37"/>
        <v>41.129999999999995</v>
      </c>
      <c r="E54" s="23">
        <f t="shared" si="37"/>
        <v>58</v>
      </c>
      <c r="F54" s="21">
        <f t="shared" si="37"/>
        <v>12.66</v>
      </c>
      <c r="G54" s="22">
        <f t="shared" si="37"/>
        <v>12.16</v>
      </c>
      <c r="H54" s="23">
        <f t="shared" si="37"/>
        <v>12.12</v>
      </c>
      <c r="I54" s="19">
        <f t="shared" si="37"/>
        <v>128.15</v>
      </c>
      <c r="K54" s="21">
        <f t="shared" ref="K54:R54" si="38">SUM(K50:K53)</f>
        <v>43.559999999999995</v>
      </c>
      <c r="L54" s="22">
        <f t="shared" si="38"/>
        <v>34.709999999999994</v>
      </c>
      <c r="M54" s="23">
        <f t="shared" si="38"/>
        <v>38.979999999999997</v>
      </c>
      <c r="N54" s="21">
        <f t="shared" si="38"/>
        <v>12.39</v>
      </c>
      <c r="O54" s="22">
        <f t="shared" si="38"/>
        <v>11.95</v>
      </c>
      <c r="P54" s="23">
        <f t="shared" si="38"/>
        <v>11.94</v>
      </c>
      <c r="Q54" s="21">
        <f t="shared" si="38"/>
        <v>29.07</v>
      </c>
      <c r="R54" s="23">
        <f t="shared" si="38"/>
        <v>30.310000000000002</v>
      </c>
      <c r="T54" s="21">
        <f t="shared" ref="T54:W54" si="39">SUM(T50:T53)</f>
        <v>53.599999999999994</v>
      </c>
      <c r="U54" s="22">
        <f t="shared" si="39"/>
        <v>39.720000000000006</v>
      </c>
      <c r="V54" s="21">
        <f t="shared" si="39"/>
        <v>15.3</v>
      </c>
      <c r="W54" s="23">
        <f t="shared" si="39"/>
        <v>15.3</v>
      </c>
      <c r="X54" s="149"/>
      <c r="Y54" s="149"/>
      <c r="Z54" s="149"/>
      <c r="AA54" s="149"/>
      <c r="AB54" s="149"/>
      <c r="AC54" s="149"/>
      <c r="AD54" s="149"/>
      <c r="AE54" s="149"/>
      <c r="AF54" s="142"/>
    </row>
    <row r="55" spans="1:32" ht="30" customHeight="1" x14ac:dyDescent="0.25"/>
    <row r="56" spans="1:32" ht="30" customHeight="1" thickBot="1" x14ac:dyDescent="0.3"/>
    <row r="57" spans="1:32" ht="15.75" thickBot="1" x14ac:dyDescent="0.3">
      <c r="A57" s="42" t="s">
        <v>47</v>
      </c>
      <c r="C57" s="114" t="s">
        <v>47</v>
      </c>
      <c r="D57" s="115"/>
      <c r="E57" s="115"/>
      <c r="F57" s="115"/>
    </row>
    <row r="58" spans="1:32" ht="15.75" thickBot="1" x14ac:dyDescent="0.3">
      <c r="A58" s="10" t="s">
        <v>7</v>
      </c>
      <c r="C58" s="97">
        <v>1</v>
      </c>
      <c r="D58" s="98">
        <v>2</v>
      </c>
      <c r="E58" s="97">
        <v>3</v>
      </c>
      <c r="F58" s="99">
        <v>4</v>
      </c>
    </row>
    <row r="59" spans="1:32" ht="15.75" thickBot="1" x14ac:dyDescent="0.3">
      <c r="A59" s="46" t="s">
        <v>16</v>
      </c>
      <c r="C59" s="88" t="s">
        <v>54</v>
      </c>
      <c r="D59" s="89" t="s">
        <v>54</v>
      </c>
      <c r="E59" s="88" t="s">
        <v>54</v>
      </c>
      <c r="F59" s="90" t="s">
        <v>54</v>
      </c>
    </row>
    <row r="60" spans="1:32" ht="15.75" thickBot="1" x14ac:dyDescent="0.3">
      <c r="A60" s="10" t="s">
        <v>21</v>
      </c>
      <c r="C60" s="7"/>
      <c r="D60" s="8"/>
      <c r="E60" s="7"/>
      <c r="F60" s="9"/>
    </row>
    <row r="61" spans="1:32" x14ac:dyDescent="0.25">
      <c r="A61" s="43" t="s">
        <v>34</v>
      </c>
      <c r="C61" s="91">
        <v>3.07</v>
      </c>
      <c r="D61" s="91">
        <v>3.07</v>
      </c>
      <c r="E61" s="91">
        <v>3.07</v>
      </c>
      <c r="F61" s="93">
        <v>2.78</v>
      </c>
    </row>
    <row r="62" spans="1:32" x14ac:dyDescent="0.25">
      <c r="A62" s="11" t="s">
        <v>22</v>
      </c>
      <c r="C62" s="26">
        <v>30.47</v>
      </c>
      <c r="D62" s="26">
        <v>30.47</v>
      </c>
      <c r="E62" s="26">
        <v>30.47</v>
      </c>
      <c r="F62" s="28">
        <v>29.61</v>
      </c>
    </row>
    <row r="63" spans="1:32" x14ac:dyDescent="0.25">
      <c r="A63" s="43" t="s">
        <v>23</v>
      </c>
      <c r="C63" s="94">
        <v>11.42</v>
      </c>
      <c r="D63" s="94">
        <v>11.42</v>
      </c>
      <c r="E63" s="94">
        <v>11.42</v>
      </c>
      <c r="F63" s="96">
        <v>11.52</v>
      </c>
    </row>
    <row r="64" spans="1:32" x14ac:dyDescent="0.25">
      <c r="A64" s="11" t="s">
        <v>24</v>
      </c>
      <c r="C64" s="26">
        <v>9.2200000000000006</v>
      </c>
      <c r="D64" s="26">
        <v>9.2200000000000006</v>
      </c>
      <c r="E64" s="26">
        <v>9.2200000000000006</v>
      </c>
      <c r="F64" s="28">
        <v>9.51</v>
      </c>
    </row>
    <row r="65" spans="1:6" x14ac:dyDescent="0.25">
      <c r="A65" s="43" t="s">
        <v>25</v>
      </c>
      <c r="C65" s="94">
        <v>10.68</v>
      </c>
      <c r="D65" s="94">
        <v>10.68</v>
      </c>
      <c r="E65" s="94">
        <v>10.68</v>
      </c>
      <c r="F65" s="96">
        <v>10.09</v>
      </c>
    </row>
    <row r="66" spans="1:6" x14ac:dyDescent="0.25">
      <c r="A66" s="11" t="s">
        <v>26</v>
      </c>
      <c r="C66" s="26">
        <v>10.11</v>
      </c>
      <c r="D66" s="26">
        <v>10.11</v>
      </c>
      <c r="E66" s="26">
        <v>10.11</v>
      </c>
      <c r="F66" s="28">
        <v>10.119999999999999</v>
      </c>
    </row>
    <row r="67" spans="1:6" x14ac:dyDescent="0.25">
      <c r="A67" s="43" t="s">
        <v>53</v>
      </c>
      <c r="C67" s="94">
        <v>10.02</v>
      </c>
      <c r="D67" s="94">
        <v>10.02</v>
      </c>
      <c r="E67" s="94">
        <v>10.02</v>
      </c>
      <c r="F67" s="96">
        <v>10.24</v>
      </c>
    </row>
    <row r="68" spans="1:6" x14ac:dyDescent="0.25">
      <c r="A68" s="11" t="s">
        <v>35</v>
      </c>
      <c r="C68" s="26">
        <v>6.23</v>
      </c>
      <c r="D68" s="26">
        <v>6.23</v>
      </c>
      <c r="E68" s="26">
        <v>6.23</v>
      </c>
      <c r="F68" s="28">
        <v>7</v>
      </c>
    </row>
    <row r="69" spans="1:6" x14ac:dyDescent="0.25">
      <c r="A69" s="44" t="s">
        <v>36</v>
      </c>
      <c r="C69" s="94">
        <v>5.24</v>
      </c>
      <c r="D69" s="94">
        <v>5.24</v>
      </c>
      <c r="E69" s="94">
        <v>5.24</v>
      </c>
      <c r="F69" s="96">
        <v>5.33</v>
      </c>
    </row>
    <row r="70" spans="1:6" x14ac:dyDescent="0.25">
      <c r="A70" s="11" t="s">
        <v>37</v>
      </c>
      <c r="C70" s="26"/>
      <c r="D70" s="26"/>
      <c r="E70" s="26"/>
      <c r="F70" s="28">
        <v>3.9</v>
      </c>
    </row>
    <row r="71" spans="1:6" x14ac:dyDescent="0.25">
      <c r="A71" s="43" t="s">
        <v>41</v>
      </c>
      <c r="C71" s="94"/>
      <c r="D71" s="94"/>
      <c r="E71" s="94"/>
      <c r="F71" s="96"/>
    </row>
    <row r="72" spans="1:6" x14ac:dyDescent="0.25">
      <c r="A72" s="11" t="s">
        <v>38</v>
      </c>
      <c r="C72" s="26">
        <v>1.57</v>
      </c>
      <c r="D72" s="26">
        <v>1.57</v>
      </c>
      <c r="E72" s="26">
        <v>1.57</v>
      </c>
      <c r="F72" s="28">
        <f>1.21+1.59</f>
        <v>2.8</v>
      </c>
    </row>
    <row r="73" spans="1:6" x14ac:dyDescent="0.25">
      <c r="A73" s="44" t="s">
        <v>39</v>
      </c>
      <c r="C73" s="91">
        <f>0.44+1.17</f>
        <v>1.6099999999999999</v>
      </c>
      <c r="D73" s="91">
        <f>0.44+1.17</f>
        <v>1.6099999999999999</v>
      </c>
      <c r="E73" s="91">
        <f>0.44+1.17</f>
        <v>1.6099999999999999</v>
      </c>
      <c r="F73" s="93">
        <f>0.56+0.88</f>
        <v>1.44</v>
      </c>
    </row>
    <row r="74" spans="1:6" x14ac:dyDescent="0.25">
      <c r="A74" s="11" t="s">
        <v>27</v>
      </c>
      <c r="C74" s="26">
        <v>1.2</v>
      </c>
      <c r="D74" s="26">
        <v>1.2</v>
      </c>
      <c r="E74" s="26">
        <v>1.2</v>
      </c>
      <c r="F74" s="28">
        <v>1.8</v>
      </c>
    </row>
    <row r="75" spans="1:6" ht="15.75" thickBot="1" x14ac:dyDescent="0.3">
      <c r="A75" s="43" t="s">
        <v>48</v>
      </c>
      <c r="C75" s="94">
        <v>5.39</v>
      </c>
      <c r="D75" s="94">
        <v>5.39</v>
      </c>
      <c r="E75" s="94">
        <v>5.39</v>
      </c>
      <c r="F75" s="96"/>
    </row>
    <row r="76" spans="1:6" ht="30.75" thickBot="1" x14ac:dyDescent="0.3">
      <c r="A76" s="13" t="s">
        <v>28</v>
      </c>
      <c r="C76" s="21">
        <f>SUM(C61:C75)</f>
        <v>106.22999999999999</v>
      </c>
      <c r="D76" s="22">
        <f>SUM(D61:D75)</f>
        <v>106.22999999999999</v>
      </c>
      <c r="E76" s="21">
        <f>SUM(E61:E75)</f>
        <v>106.22999999999999</v>
      </c>
      <c r="F76" s="23">
        <f>SUM(F61:F75)</f>
        <v>106.13999999999999</v>
      </c>
    </row>
    <row r="77" spans="1:6" x14ac:dyDescent="0.25">
      <c r="A77" s="11" t="s">
        <v>29</v>
      </c>
      <c r="C77" s="26">
        <v>473.96</v>
      </c>
      <c r="D77" s="27">
        <v>398.52</v>
      </c>
      <c r="E77" s="26">
        <v>375</v>
      </c>
      <c r="F77" s="28">
        <v>446.66</v>
      </c>
    </row>
    <row r="78" spans="1:6" x14ac:dyDescent="0.25">
      <c r="A78" s="43" t="s">
        <v>30</v>
      </c>
      <c r="C78" s="94">
        <v>22.46</v>
      </c>
      <c r="D78" s="95">
        <v>22.46</v>
      </c>
      <c r="E78" s="94">
        <v>22.46</v>
      </c>
      <c r="F78" s="96">
        <f>12.29+22.46</f>
        <v>34.75</v>
      </c>
    </row>
    <row r="79" spans="1:6" x14ac:dyDescent="0.25">
      <c r="A79" s="11" t="s">
        <v>49</v>
      </c>
      <c r="C79" s="26">
        <v>19.84</v>
      </c>
      <c r="D79" s="27">
        <v>19.84</v>
      </c>
      <c r="E79" s="26">
        <v>19.84</v>
      </c>
      <c r="F79" s="28">
        <v>18.7</v>
      </c>
    </row>
    <row r="80" spans="1:6" x14ac:dyDescent="0.25">
      <c r="A80" s="44" t="s">
        <v>50</v>
      </c>
      <c r="C80" s="91">
        <v>32.19</v>
      </c>
      <c r="D80" s="92">
        <v>29.97</v>
      </c>
      <c r="E80" s="91">
        <v>19.739999999999998</v>
      </c>
      <c r="F80" s="93">
        <v>25.41</v>
      </c>
    </row>
    <row r="81" spans="1:6" ht="15.75" thickBot="1" x14ac:dyDescent="0.3">
      <c r="A81" s="11" t="s">
        <v>51</v>
      </c>
      <c r="C81" s="26"/>
      <c r="D81" s="27"/>
      <c r="E81" s="26"/>
      <c r="F81" s="28">
        <v>23.33</v>
      </c>
    </row>
    <row r="82" spans="1:6" ht="30" customHeight="1" thickBot="1" x14ac:dyDescent="0.3">
      <c r="A82" s="14" t="s">
        <v>32</v>
      </c>
      <c r="C82" s="21">
        <f>SUM(C77:C81)</f>
        <v>548.45000000000005</v>
      </c>
      <c r="D82" s="22">
        <f>SUM(D77:D81)</f>
        <v>470.78999999999996</v>
      </c>
      <c r="E82" s="21">
        <f>SUM(E77:E81)</f>
        <v>437.03999999999996</v>
      </c>
      <c r="F82" s="23">
        <f>SUM(F77:F81)</f>
        <v>548.85</v>
      </c>
    </row>
    <row r="83" spans="1:6" ht="15.75" thickBot="1" x14ac:dyDescent="0.3"/>
    <row r="84" spans="1:6" ht="15.75" thickBot="1" x14ac:dyDescent="0.3">
      <c r="A84" s="14" t="s">
        <v>52</v>
      </c>
      <c r="C84" s="21">
        <v>613</v>
      </c>
      <c r="D84" s="22">
        <v>535</v>
      </c>
      <c r="E84" s="21">
        <v>501</v>
      </c>
      <c r="F84" s="23">
        <v>603</v>
      </c>
    </row>
  </sheetData>
  <mergeCells count="28">
    <mergeCell ref="C29:I29"/>
    <mergeCell ref="K29:R29"/>
    <mergeCell ref="T29:W29"/>
    <mergeCell ref="C30:E30"/>
    <mergeCell ref="K30:M30"/>
    <mergeCell ref="N30:P30"/>
    <mergeCell ref="Q30:R30"/>
    <mergeCell ref="T30:U30"/>
    <mergeCell ref="V30:W30"/>
    <mergeCell ref="X29:AE29"/>
    <mergeCell ref="F30:H30"/>
    <mergeCell ref="X30:Z30"/>
    <mergeCell ref="AA30:AC30"/>
    <mergeCell ref="AD30:AE30"/>
    <mergeCell ref="C57:F57"/>
    <mergeCell ref="O1:V1"/>
    <mergeCell ref="O2:Q2"/>
    <mergeCell ref="R2:T2"/>
    <mergeCell ref="U2:V2"/>
    <mergeCell ref="X1:AE1"/>
    <mergeCell ref="AD2:AE2"/>
    <mergeCell ref="F2:H2"/>
    <mergeCell ref="I2:K2"/>
    <mergeCell ref="F1:M1"/>
    <mergeCell ref="L2:M2"/>
    <mergeCell ref="C1:D1"/>
    <mergeCell ref="X2:Z2"/>
    <mergeCell ref="AA2:AC2"/>
  </mergeCells>
  <pageMargins left="1.1811023622047245" right="0.59055118110236227" top="0.59055118110236227" bottom="0.59055118110236227" header="0.51181102362204722" footer="0.51181102362204722"/>
  <pageSetup paperSize="8" scale="52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Surfaces par logement</vt:lpstr>
      <vt:lpstr>'Surfaces par logement'!Zone_d_impression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Conception 01</cp:lastModifiedBy>
  <cp:lastPrinted>2026-03-05T07:24:13Z</cp:lastPrinted>
  <dcterms:created xsi:type="dcterms:W3CDTF">2026-02-05T14:30:49Z</dcterms:created>
  <dcterms:modified xsi:type="dcterms:W3CDTF">2026-03-05T08:18:46Z</dcterms:modified>
</cp:coreProperties>
</file>