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oge\Desktop\"/>
    </mc:Choice>
  </mc:AlternateContent>
  <xr:revisionPtr revIDLastSave="0" documentId="13_ncr:1_{0780ADF6-FE9A-477C-A7CE-12EF0CDE90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rfaces PRO" sheetId="18" r:id="rId1"/>
  </sheets>
  <definedNames>
    <definedName name="_xlnm.Print_Area" localSheetId="0">'Surfaces PRO'!$A$97:$N$160</definedName>
  </definedNames>
  <calcPr calcId="181029"/>
</workbook>
</file>

<file path=xl/calcChain.xml><?xml version="1.0" encoding="utf-8"?>
<calcChain xmlns="http://schemas.openxmlformats.org/spreadsheetml/2006/main">
  <c r="M101" i="18" l="1"/>
  <c r="N101" i="18"/>
  <c r="M104" i="18"/>
  <c r="N104" i="18"/>
  <c r="M107" i="18"/>
  <c r="N107" i="18"/>
  <c r="M110" i="18"/>
  <c r="N110" i="18"/>
  <c r="M142" i="18"/>
  <c r="N142" i="18"/>
  <c r="M143" i="18"/>
  <c r="N143" i="18"/>
  <c r="M147" i="18"/>
  <c r="N147" i="18"/>
  <c r="M148" i="18"/>
  <c r="N148" i="18"/>
  <c r="M152" i="18"/>
  <c r="N152" i="18"/>
  <c r="M153" i="18"/>
  <c r="N153" i="18"/>
  <c r="M155" i="18"/>
  <c r="N155" i="18"/>
  <c r="I199" i="18"/>
  <c r="J198" i="18"/>
  <c r="J201" i="18" s="1"/>
  <c r="I197" i="18"/>
  <c r="H197" i="18"/>
  <c r="I196" i="18"/>
  <c r="H196" i="18"/>
  <c r="G196" i="18"/>
  <c r="I195" i="18"/>
  <c r="H195" i="18"/>
  <c r="G195" i="18"/>
  <c r="F175" i="18"/>
  <c r="F174" i="18"/>
  <c r="L170" i="18"/>
  <c r="D158" i="18"/>
  <c r="J156" i="18"/>
  <c r="I156" i="18"/>
  <c r="H156" i="18"/>
  <c r="G156" i="18"/>
  <c r="L174" i="18" s="1"/>
  <c r="D156" i="18"/>
  <c r="L152" i="18"/>
  <c r="L147" i="18"/>
  <c r="L142" i="18"/>
  <c r="F130" i="18"/>
  <c r="F129" i="18"/>
  <c r="T128" i="18"/>
  <c r="L125" i="18"/>
  <c r="D113" i="18"/>
  <c r="J111" i="18"/>
  <c r="I111" i="18"/>
  <c r="H111" i="18"/>
  <c r="G111" i="18"/>
  <c r="L129" i="18" s="1"/>
  <c r="D111" i="18"/>
  <c r="L107" i="18"/>
  <c r="L104" i="18"/>
  <c r="L101" i="18"/>
  <c r="L94" i="18"/>
  <c r="F89" i="18"/>
  <c r="F88" i="18"/>
  <c r="L82" i="18"/>
  <c r="L84" i="18" s="1"/>
  <c r="D72" i="18"/>
  <c r="J70" i="18"/>
  <c r="I70" i="18"/>
  <c r="H70" i="18"/>
  <c r="G70" i="18"/>
  <c r="L88" i="18" s="1"/>
  <c r="D70" i="18"/>
  <c r="L67" i="18"/>
  <c r="L64" i="18"/>
  <c r="L61" i="18"/>
  <c r="D55" i="18"/>
  <c r="J53" i="18"/>
  <c r="I53" i="18"/>
  <c r="H53" i="18"/>
  <c r="G53" i="18"/>
  <c r="D53" i="18"/>
  <c r="L50" i="18"/>
  <c r="L47" i="18"/>
  <c r="L44" i="18"/>
  <c r="F34" i="18"/>
  <c r="F33" i="18"/>
  <c r="L29" i="18"/>
  <c r="L23" i="18"/>
  <c r="L22" i="18"/>
  <c r="D16" i="18"/>
  <c r="J14" i="18"/>
  <c r="I14" i="18"/>
  <c r="H14" i="18"/>
  <c r="G14" i="18"/>
  <c r="L33" i="18" s="1"/>
  <c r="D14" i="18"/>
  <c r="L11" i="18"/>
  <c r="L8" i="18"/>
  <c r="L5" i="18"/>
  <c r="L16" i="18" l="1"/>
  <c r="F90" i="18"/>
  <c r="F131" i="18"/>
  <c r="L34" i="18"/>
  <c r="L35" i="18" s="1"/>
  <c r="L37" i="18" s="1"/>
  <c r="L203" i="18"/>
  <c r="L158" i="18"/>
  <c r="I201" i="18"/>
  <c r="L175" i="18"/>
  <c r="L176" i="18" s="1"/>
  <c r="L178" i="18" s="1"/>
  <c r="L53" i="18"/>
  <c r="L204" i="18"/>
  <c r="I186" i="18"/>
  <c r="L160" i="18"/>
  <c r="L163" i="18" s="1"/>
  <c r="L130" i="18"/>
  <c r="L131" i="18" s="1"/>
  <c r="J186" i="18"/>
  <c r="L89" i="18"/>
  <c r="L90" i="18" s="1"/>
  <c r="L92" i="18" s="1"/>
  <c r="L14" i="18"/>
  <c r="L21" i="18" s="1"/>
  <c r="L24" i="18" s="1"/>
  <c r="L70" i="18"/>
  <c r="L78" i="18" s="1"/>
  <c r="L18" i="18"/>
  <c r="H201" i="18"/>
  <c r="F35" i="18"/>
  <c r="F39" i="18" s="1"/>
  <c r="L55" i="18"/>
  <c r="L115" i="18"/>
  <c r="L118" i="18" s="1"/>
  <c r="G201" i="18"/>
  <c r="L113" i="18"/>
  <c r="L111" i="18"/>
  <c r="L119" i="18" s="1"/>
  <c r="F176" i="18"/>
  <c r="F180" i="18" s="1"/>
  <c r="L72" i="18"/>
  <c r="L74" i="18"/>
  <c r="L77" i="18" s="1"/>
  <c r="L156" i="18"/>
  <c r="L164" i="18" s="1"/>
  <c r="G186" i="18"/>
  <c r="H186" i="18"/>
  <c r="L57" i="18"/>
  <c r="I160" i="18" l="1"/>
  <c r="L120" i="18"/>
  <c r="J204" i="18"/>
  <c r="I115" i="18"/>
  <c r="L165" i="18"/>
  <c r="L201" i="18"/>
  <c r="L133" i="18"/>
  <c r="I57" i="18"/>
  <c r="L189" i="18"/>
  <c r="E204" i="18" s="1"/>
  <c r="I18" i="18"/>
  <c r="I74" i="18"/>
  <c r="L79" i="18"/>
  <c r="L186" i="18"/>
  <c r="L188" i="18"/>
  <c r="E201" i="18" l="1"/>
  <c r="K202" i="18"/>
  <c r="G202" i="18"/>
  <c r="I202" i="18"/>
  <c r="H202" i="18"/>
  <c r="J202" i="18"/>
  <c r="L192" i="18"/>
  <c r="B204" i="18" s="1"/>
  <c r="H187" i="18"/>
  <c r="L191" i="18"/>
  <c r="J189" i="18"/>
  <c r="I187" i="18"/>
  <c r="J187" i="18"/>
  <c r="G187" i="18"/>
  <c r="J192" i="18" l="1"/>
</calcChain>
</file>

<file path=xl/sharedStrings.xml><?xml version="1.0" encoding="utf-8"?>
<sst xmlns="http://schemas.openxmlformats.org/spreadsheetml/2006/main" count="215" uniqueCount="54">
  <si>
    <t>RDC</t>
  </si>
  <si>
    <t>R+1</t>
  </si>
  <si>
    <t>T2</t>
  </si>
  <si>
    <t>T3</t>
  </si>
  <si>
    <t>T4</t>
  </si>
  <si>
    <t>SURFACES</t>
  </si>
  <si>
    <t>TOTAL</t>
  </si>
  <si>
    <t>logements</t>
  </si>
  <si>
    <t>m² Hab</t>
  </si>
  <si>
    <t>m² HAB</t>
  </si>
  <si>
    <t>places</t>
  </si>
  <si>
    <t>projet</t>
  </si>
  <si>
    <t>places couvertes</t>
  </si>
  <si>
    <t>m² S.P.</t>
  </si>
  <si>
    <t>lgts</t>
  </si>
  <si>
    <t>Stationnements véhicules</t>
  </si>
  <si>
    <t>places extérieurs</t>
  </si>
  <si>
    <t>BAT A</t>
  </si>
  <si>
    <t>TOTAL Lgts locatif</t>
  </si>
  <si>
    <t>TOTAL S,Hab</t>
  </si>
  <si>
    <t>TOTAL S,UTIL</t>
  </si>
  <si>
    <t>Commerces</t>
  </si>
  <si>
    <t>m² Utile</t>
  </si>
  <si>
    <t>Att</t>
  </si>
  <si>
    <t>Shab/SP=</t>
  </si>
  <si>
    <t>T5</t>
  </si>
  <si>
    <t>LUMBIN</t>
  </si>
  <si>
    <t>COS 30%</t>
  </si>
  <si>
    <t>20% LLS</t>
  </si>
  <si>
    <t>BAT B</t>
  </si>
  <si>
    <t>PLU =1/Lgts sociaux</t>
  </si>
  <si>
    <t>PLU = 1pl/50m² SP lgts</t>
  </si>
  <si>
    <t>PLU = 1pl visit/4 lgts</t>
  </si>
  <si>
    <t>BAT C</t>
  </si>
  <si>
    <t>R+2</t>
  </si>
  <si>
    <t>Hmax modif PLU</t>
  </si>
  <si>
    <t>12m Faîta / 10m Accro</t>
  </si>
  <si>
    <t>BAT D</t>
  </si>
  <si>
    <t>T1/T2</t>
  </si>
  <si>
    <t>BAT E</t>
  </si>
  <si>
    <t>hors lot à batir</t>
  </si>
  <si>
    <t>Stationnement vélos</t>
  </si>
  <si>
    <t>Arrêté du 30 Juin 2022</t>
  </si>
  <si>
    <t>1,5 m² par lgt jusqu'au T2</t>
  </si>
  <si>
    <t>3m² par lgt à partir de T3</t>
  </si>
  <si>
    <t>circulation + 10%</t>
  </si>
  <si>
    <t>125, 126, 127</t>
  </si>
  <si>
    <t>Parcelles AH 123,124</t>
  </si>
  <si>
    <t>avec lot à batir</t>
  </si>
  <si>
    <t>Requis</t>
  </si>
  <si>
    <t xml:space="preserve"> </t>
  </si>
  <si>
    <t>DPC</t>
  </si>
  <si>
    <t>après mis à jour isolant sur JD</t>
  </si>
  <si>
    <t>+2cm d'isolant en façade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</si>
</sst>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&quot;m²&quot;"/>
    <numFmt numFmtId="165" formatCode="0.00_ ;[Red]\-0.00\ "/>
  </numFmts>
  <fonts count="40">
    <font>
      <sz val="11"/>
      <color theme="1"/>
      <name val="Calibri"/>
      <family val="2"/>
      <scheme val="minor"/>
    </font>
    <font>
      <sz val="11"/>
      <color theme="1"/>
      <name val="DIN"/>
    </font>
    <font>
      <sz val="11"/>
      <color theme="3" tint="0.39997558519241921"/>
      <name val="DIN"/>
    </font>
    <font>
      <b/>
      <sz val="16"/>
      <color theme="3" tint="0.39997558519241921"/>
      <name val="DIN"/>
    </font>
    <font>
      <b/>
      <sz val="11"/>
      <color theme="3" tint="0.39997558519241921"/>
      <name val="DIN"/>
    </font>
    <font>
      <b/>
      <sz val="11"/>
      <color theme="0"/>
      <name val="DIN"/>
    </font>
    <font>
      <sz val="10"/>
      <color theme="1"/>
      <name val="DIN"/>
    </font>
    <font>
      <sz val="11"/>
      <color theme="0"/>
      <name val="DIN"/>
    </font>
    <font>
      <sz val="11"/>
      <name val="DIN"/>
    </font>
    <font>
      <sz val="14"/>
      <color theme="3" tint="0.39997558519241921"/>
      <name val="DIN"/>
    </font>
    <font>
      <sz val="11"/>
      <color theme="3" tint="0.39997558519241921"/>
      <name val="Calibri"/>
      <family val="2"/>
      <scheme val="minor"/>
    </font>
    <font>
      <b/>
      <sz val="11"/>
      <color theme="4"/>
      <name val="DIN"/>
    </font>
    <font>
      <b/>
      <sz val="12"/>
      <color theme="3" tint="0.39997558519241921"/>
      <name val="DIN"/>
    </font>
    <font>
      <sz val="11"/>
      <color theme="1"/>
      <name val="Calibri"/>
      <family val="2"/>
      <scheme val="minor"/>
    </font>
    <font>
      <b/>
      <sz val="10"/>
      <color theme="0"/>
      <name val="DIN"/>
    </font>
    <font>
      <sz val="11"/>
      <color theme="4"/>
      <name val="DIN"/>
    </font>
    <font>
      <b/>
      <sz val="10"/>
      <color theme="3" tint="0.39997558519241921"/>
      <name val="DIN"/>
    </font>
    <font>
      <b/>
      <sz val="11"/>
      <color theme="5" tint="0.39997558519241921"/>
      <name val="DIN"/>
    </font>
    <font>
      <sz val="11"/>
      <color theme="5" tint="0.39997558519241921"/>
      <name val="DIN"/>
    </font>
    <font>
      <sz val="9"/>
      <color theme="3" tint="0.39997558519241921"/>
      <name val="DIN"/>
    </font>
    <font>
      <sz val="8"/>
      <color theme="3" tint="0.39997558519241921"/>
      <name val="DIN"/>
    </font>
    <font>
      <sz val="9"/>
      <color theme="0"/>
      <name val="DIN"/>
    </font>
    <font>
      <sz val="9"/>
      <color theme="1"/>
      <name val="DIN"/>
    </font>
    <font>
      <sz val="9"/>
      <color theme="5" tint="0.39997558519241921"/>
      <name val="DIN"/>
    </font>
    <font>
      <b/>
      <sz val="9"/>
      <color theme="3" tint="0.39997558519241921"/>
      <name val="DIN"/>
    </font>
    <font>
      <b/>
      <sz val="9"/>
      <color theme="4"/>
      <name val="DIN"/>
    </font>
    <font>
      <sz val="9"/>
      <color theme="3" tint="0.39997558519241921"/>
      <name val="Calibri"/>
      <family val="2"/>
      <scheme val="minor"/>
    </font>
    <font>
      <sz val="9"/>
      <color theme="6" tint="-0.249977111117893"/>
      <name val="DIN"/>
    </font>
    <font>
      <sz val="8"/>
      <color theme="5" tint="0.39997558519241921"/>
      <name val="DIN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9"/>
      <name val="DIN"/>
    </font>
    <font>
      <sz val="12"/>
      <name val="DIN"/>
    </font>
    <font>
      <b/>
      <sz val="10"/>
      <color theme="6" tint="-0.499984740745262"/>
      <name val="DIN"/>
    </font>
    <font>
      <sz val="11"/>
      <color theme="6" tint="-0.249977111117893"/>
      <name val="DIN"/>
    </font>
    <font>
      <sz val="11"/>
      <color theme="5" tint="-0.249977111117893"/>
      <name val="DIN"/>
    </font>
    <font>
      <sz val="8"/>
      <color theme="5" tint="-0.249977111117893"/>
      <name val="DIN"/>
    </font>
    <font>
      <b/>
      <sz val="8"/>
      <color theme="3" tint="0.39997558519241921"/>
      <name val="DIN"/>
    </font>
    <font>
      <b/>
      <sz val="9"/>
      <color theme="1"/>
      <name val="DIN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3" tint="0.39988402966399123"/>
      </right>
      <top/>
      <bottom/>
      <diagonal/>
    </border>
    <border>
      <left style="thin">
        <color theme="3" tint="0.39988402966399123"/>
      </left>
      <right/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/>
      <right style="thin">
        <color theme="3" tint="0.39991454817346722"/>
      </right>
      <top/>
      <bottom/>
      <diagonal/>
    </border>
    <border>
      <left/>
      <right style="thin">
        <color theme="3" tint="0.39991454817346722"/>
      </right>
      <top/>
      <bottom style="thin">
        <color theme="3" tint="0.39994506668294322"/>
      </bottom>
      <diagonal/>
    </border>
    <border>
      <left/>
      <right/>
      <top/>
      <bottom style="thin">
        <color theme="3" tint="0.39991454817346722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theme="3" tint="0.39991454817346722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5" tint="0.39994506668294322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medium">
        <color theme="5" tint="0.59996337778862885"/>
      </left>
      <right/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3" tint="0.399914548173467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88402966399123"/>
      </left>
      <right style="thin">
        <color theme="3" tint="0.39985351115451523"/>
      </right>
      <top style="thin">
        <color theme="3" tint="0.39991454817346722"/>
      </top>
      <bottom style="thin">
        <color theme="3" tint="0.39991454817346722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/>
      <bottom style="thin">
        <color theme="3" tint="0.39991454817346722"/>
      </bottom>
      <diagonal/>
    </border>
    <border>
      <left/>
      <right style="thin">
        <color theme="3" tint="0.39994506668294322"/>
      </right>
      <top/>
      <bottom style="thin">
        <color theme="3" tint="0.39991454817346722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/>
      <right/>
      <top/>
      <bottom style="double">
        <color theme="3" tint="-0.2499465926084170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8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2" borderId="0" xfId="0" applyNumberFormat="1" applyFont="1" applyFill="1"/>
    <xf numFmtId="0" fontId="6" fillId="0" borderId="0" xfId="0" applyFont="1"/>
    <xf numFmtId="9" fontId="6" fillId="0" borderId="0" xfId="0" applyNumberFormat="1" applyFont="1"/>
    <xf numFmtId="0" fontId="2" fillId="0" borderId="2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 textRotation="90" wrapText="1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2" fontId="1" fillId="0" borderId="0" xfId="0" applyNumberFormat="1" applyFont="1"/>
    <xf numFmtId="0" fontId="1" fillId="0" borderId="4" xfId="0" applyFont="1" applyBorder="1"/>
    <xf numFmtId="0" fontId="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2" fillId="0" borderId="6" xfId="0" applyFont="1" applyBorder="1"/>
    <xf numFmtId="2" fontId="8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2" fillId="0" borderId="12" xfId="0" applyFont="1" applyBorder="1"/>
    <xf numFmtId="0" fontId="1" fillId="0" borderId="14" xfId="0" applyFont="1" applyBorder="1"/>
    <xf numFmtId="0" fontId="5" fillId="2" borderId="14" xfId="0" applyFont="1" applyFill="1" applyBorder="1"/>
    <xf numFmtId="0" fontId="12" fillId="0" borderId="15" xfId="0" applyFont="1" applyBorder="1"/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8" fillId="0" borderId="18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5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" fontId="14" fillId="2" borderId="7" xfId="0" applyNumberFormat="1" applyFont="1" applyFill="1" applyBorder="1"/>
    <xf numFmtId="15" fontId="2" fillId="0" borderId="0" xfId="0" applyNumberFormat="1" applyFont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3" borderId="0" xfId="0" applyFont="1" applyFill="1"/>
    <xf numFmtId="0" fontId="18" fillId="0" borderId="0" xfId="0" applyFont="1"/>
    <xf numFmtId="9" fontId="18" fillId="0" borderId="0" xfId="0" applyNumberFormat="1" applyFont="1" applyAlignment="1">
      <alignment horizontal="center" vertical="center"/>
    </xf>
    <xf numFmtId="1" fontId="5" fillId="3" borderId="0" xfId="0" applyNumberFormat="1" applyFont="1" applyFill="1"/>
    <xf numFmtId="0" fontId="7" fillId="3" borderId="0" xfId="0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" fontId="2" fillId="0" borderId="14" xfId="0" applyNumberFormat="1" applyFont="1" applyBorder="1"/>
    <xf numFmtId="0" fontId="20" fillId="0" borderId="0" xfId="0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0" fillId="0" borderId="0" xfId="0" applyFont="1"/>
    <xf numFmtId="0" fontId="19" fillId="0" borderId="0" xfId="0" applyFont="1"/>
    <xf numFmtId="0" fontId="1" fillId="0" borderId="32" xfId="0" applyFont="1" applyBorder="1" applyAlignment="1">
      <alignment horizontal="center" vertical="center"/>
    </xf>
    <xf numFmtId="9" fontId="7" fillId="3" borderId="26" xfId="1" applyFont="1" applyFill="1" applyBorder="1" applyAlignment="1">
      <alignment horizontal="center" vertical="center"/>
    </xf>
    <xf numFmtId="1" fontId="4" fillId="0" borderId="34" xfId="0" applyNumberFormat="1" applyFont="1" applyBorder="1"/>
    <xf numFmtId="0" fontId="1" fillId="0" borderId="35" xfId="0" applyFont="1" applyBorder="1"/>
    <xf numFmtId="0" fontId="2" fillId="0" borderId="23" xfId="0" applyFont="1" applyBorder="1"/>
    <xf numFmtId="0" fontId="1" fillId="0" borderId="23" xfId="0" applyFont="1" applyBorder="1"/>
    <xf numFmtId="0" fontId="20" fillId="0" borderId="30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center"/>
    </xf>
    <xf numFmtId="1" fontId="4" fillId="0" borderId="0" xfId="0" applyNumberFormat="1" applyFont="1" applyAlignment="1">
      <alignment horizontal="right" vertical="center"/>
    </xf>
    <xf numFmtId="0" fontId="4" fillId="0" borderId="35" xfId="0" applyFont="1" applyBorder="1"/>
    <xf numFmtId="1" fontId="17" fillId="0" borderId="0" xfId="0" applyNumberFormat="1" applyFont="1"/>
    <xf numFmtId="0" fontId="22" fillId="0" borderId="0" xfId="0" applyFont="1"/>
    <xf numFmtId="0" fontId="19" fillId="0" borderId="0" xfId="0" applyFont="1" applyAlignment="1">
      <alignment vertical="center" textRotation="90" wrapText="1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4" fillId="0" borderId="31" xfId="0" applyFont="1" applyBorder="1" applyAlignment="1">
      <alignment horizontal="right" vertical="center"/>
    </xf>
    <xf numFmtId="9" fontId="2" fillId="0" borderId="0" xfId="1" applyFont="1" applyAlignment="1">
      <alignment horizontal="left"/>
    </xf>
    <xf numFmtId="14" fontId="8" fillId="0" borderId="0" xfId="0" applyNumberFormat="1" applyFont="1" applyAlignment="1">
      <alignment horizontal="center" vertical="center"/>
    </xf>
    <xf numFmtId="0" fontId="27" fillId="0" borderId="0" xfId="0" applyFont="1"/>
    <xf numFmtId="0" fontId="5" fillId="3" borderId="25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 textRotation="90" wrapText="1"/>
    </xf>
    <xf numFmtId="0" fontId="17" fillId="0" borderId="0" xfId="0" applyFont="1"/>
    <xf numFmtId="0" fontId="28" fillId="0" borderId="0" xfId="0" applyFont="1"/>
    <xf numFmtId="0" fontId="30" fillId="0" borderId="0" xfId="0" applyFont="1"/>
    <xf numFmtId="0" fontId="12" fillId="0" borderId="0" xfId="0" applyFont="1"/>
    <xf numFmtId="164" fontId="0" fillId="0" borderId="0" xfId="0" applyNumberFormat="1"/>
    <xf numFmtId="0" fontId="0" fillId="0" borderId="37" xfId="0" applyBorder="1"/>
    <xf numFmtId="0" fontId="0" fillId="0" borderId="38" xfId="0" applyBorder="1"/>
    <xf numFmtId="0" fontId="1" fillId="0" borderId="38" xfId="0" applyFont="1" applyBorder="1"/>
    <xf numFmtId="0" fontId="1" fillId="0" borderId="39" xfId="0" applyFont="1" applyBorder="1"/>
    <xf numFmtId="0" fontId="0" fillId="0" borderId="4" xfId="0" applyBorder="1"/>
    <xf numFmtId="164" fontId="1" fillId="0" borderId="40" xfId="0" applyNumberFormat="1" applyFont="1" applyBorder="1"/>
    <xf numFmtId="0" fontId="29" fillId="0" borderId="6" xfId="0" applyFont="1" applyBorder="1"/>
    <xf numFmtId="0" fontId="31" fillId="0" borderId="6" xfId="0" applyFont="1" applyBorder="1"/>
    <xf numFmtId="164" fontId="29" fillId="0" borderId="6" xfId="0" applyNumberFormat="1" applyFont="1" applyBorder="1"/>
    <xf numFmtId="164" fontId="4" fillId="0" borderId="34" xfId="0" applyNumberFormat="1" applyFont="1" applyBorder="1"/>
    <xf numFmtId="164" fontId="4" fillId="0" borderId="40" xfId="0" applyNumberFormat="1" applyFont="1" applyBorder="1"/>
    <xf numFmtId="1" fontId="8" fillId="0" borderId="13" xfId="0" applyNumberFormat="1" applyFont="1" applyBorder="1"/>
    <xf numFmtId="0" fontId="32" fillId="0" borderId="0" xfId="0" applyFont="1"/>
    <xf numFmtId="1" fontId="8" fillId="0" borderId="14" xfId="0" applyNumberFormat="1" applyFont="1" applyBorder="1"/>
    <xf numFmtId="1" fontId="8" fillId="0" borderId="34" xfId="0" applyNumberFormat="1" applyFont="1" applyBorder="1"/>
    <xf numFmtId="0" fontId="8" fillId="0" borderId="14" xfId="0" applyFont="1" applyBorder="1"/>
    <xf numFmtId="0" fontId="33" fillId="0" borderId="14" xfId="0" applyFont="1" applyBorder="1"/>
    <xf numFmtId="9" fontId="18" fillId="0" borderId="0" xfId="0" applyNumberFormat="1" applyFont="1" applyAlignment="1">
      <alignment horizontal="left" vertical="center"/>
    </xf>
    <xf numFmtId="0" fontId="4" fillId="0" borderId="41" xfId="0" applyFont="1" applyBorder="1"/>
    <xf numFmtId="0" fontId="0" fillId="0" borderId="16" xfId="0" applyBorder="1"/>
    <xf numFmtId="0" fontId="10" fillId="0" borderId="16" xfId="0" applyFont="1" applyBorder="1"/>
    <xf numFmtId="164" fontId="0" fillId="0" borderId="16" xfId="0" applyNumberFormat="1" applyBorder="1"/>
    <xf numFmtId="0" fontId="1" fillId="0" borderId="16" xfId="0" applyFont="1" applyBorder="1"/>
    <xf numFmtId="0" fontId="4" fillId="0" borderId="16" xfId="0" applyFont="1" applyBorder="1"/>
    <xf numFmtId="164" fontId="4" fillId="0" borderId="42" xfId="0" applyNumberFormat="1" applyFont="1" applyBorder="1"/>
    <xf numFmtId="0" fontId="1" fillId="0" borderId="41" xfId="0" applyFont="1" applyBorder="1"/>
    <xf numFmtId="0" fontId="29" fillId="0" borderId="16" xfId="0" applyFont="1" applyBorder="1"/>
    <xf numFmtId="0" fontId="31" fillId="0" borderId="16" xfId="0" applyFont="1" applyBorder="1"/>
    <xf numFmtId="164" fontId="29" fillId="0" borderId="16" xfId="0" applyNumberFormat="1" applyFont="1" applyBorder="1"/>
    <xf numFmtId="0" fontId="0" fillId="0" borderId="41" xfId="0" applyBorder="1"/>
    <xf numFmtId="164" fontId="1" fillId="0" borderId="34" xfId="0" applyNumberFormat="1" applyFont="1" applyBorder="1"/>
    <xf numFmtId="1" fontId="14" fillId="0" borderId="0" xfId="0" applyNumberFormat="1" applyFont="1"/>
    <xf numFmtId="0" fontId="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2" fontId="7" fillId="3" borderId="18" xfId="0" applyNumberFormat="1" applyFont="1" applyFill="1" applyBorder="1" applyAlignment="1">
      <alignment horizontal="center" vertical="center"/>
    </xf>
    <xf numFmtId="2" fontId="7" fillId="3" borderId="24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9" fontId="35" fillId="0" borderId="0" xfId="1" applyFont="1" applyAlignment="1">
      <alignment horizontal="left"/>
    </xf>
    <xf numFmtId="2" fontId="14" fillId="2" borderId="7" xfId="0" applyNumberFormat="1" applyFont="1" applyFill="1" applyBorder="1"/>
    <xf numFmtId="2" fontId="5" fillId="2" borderId="0" xfId="0" applyNumberFormat="1" applyFont="1" applyFill="1"/>
    <xf numFmtId="2" fontId="5" fillId="3" borderId="0" xfId="0" applyNumberFormat="1" applyFont="1" applyFill="1"/>
    <xf numFmtId="9" fontId="18" fillId="0" borderId="0" xfId="1" applyFont="1" applyAlignment="1">
      <alignment horizontal="left"/>
    </xf>
    <xf numFmtId="0" fontId="18" fillId="0" borderId="35" xfId="0" applyFont="1" applyBorder="1" applyAlignment="1">
      <alignment horizontal="center" vertical="center"/>
    </xf>
    <xf numFmtId="0" fontId="17" fillId="0" borderId="43" xfId="0" applyFont="1" applyBorder="1" applyAlignment="1">
      <alignment horizontal="right" vertical="center"/>
    </xf>
    <xf numFmtId="0" fontId="17" fillId="0" borderId="43" xfId="0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right" vertical="center"/>
    </xf>
    <xf numFmtId="2" fontId="16" fillId="0" borderId="0" xfId="0" applyNumberFormat="1" applyFont="1"/>
    <xf numFmtId="2" fontId="34" fillId="0" borderId="0" xfId="0" applyNumberFormat="1" applyFont="1"/>
    <xf numFmtId="2" fontId="14" fillId="3" borderId="43" xfId="0" applyNumberFormat="1" applyFont="1" applyFill="1" applyBorder="1"/>
    <xf numFmtId="1" fontId="14" fillId="3" borderId="43" xfId="0" applyNumberFormat="1" applyFont="1" applyFill="1" applyBorder="1"/>
    <xf numFmtId="0" fontId="22" fillId="0" borderId="0" xfId="0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textRotation="90" wrapText="1"/>
    </xf>
    <xf numFmtId="0" fontId="19" fillId="0" borderId="46" xfId="0" applyFont="1" applyBorder="1" applyAlignment="1">
      <alignment vertical="center" textRotation="90" wrapText="1"/>
    </xf>
    <xf numFmtId="0" fontId="1" fillId="0" borderId="46" xfId="0" applyFont="1" applyBorder="1"/>
    <xf numFmtId="165" fontId="38" fillId="0" borderId="0" xfId="0" applyNumberFormat="1" applyFont="1" applyAlignment="1">
      <alignment horizontal="center" wrapText="1"/>
    </xf>
    <xf numFmtId="0" fontId="19" fillId="0" borderId="46" xfId="0" applyFont="1" applyBorder="1" applyAlignment="1">
      <alignment textRotation="90" wrapText="1"/>
    </xf>
    <xf numFmtId="0" fontId="2" fillId="0" borderId="3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45" xfId="0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10583</xdr:rowOff>
    </xdr:from>
    <xdr:to>
      <xdr:col>0</xdr:col>
      <xdr:colOff>1368000</xdr:colOff>
      <xdr:row>0</xdr:row>
      <xdr:rowOff>354011</xdr:rowOff>
    </xdr:to>
    <xdr:pic>
      <xdr:nvPicPr>
        <xdr:cNvPr id="2" name="Image 1" descr="Haut de page.jpg">
          <a:extLst>
            <a:ext uri="{FF2B5EF4-FFF2-40B4-BE49-F238E27FC236}">
              <a16:creationId xmlns:a16="http://schemas.microsoft.com/office/drawing/2014/main" id="{B0C233CE-13CE-4AD6-B8DB-50AB264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583"/>
          <a:ext cx="1368000" cy="343428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40</xdr:row>
      <xdr:rowOff>21981</xdr:rowOff>
    </xdr:from>
    <xdr:to>
      <xdr:col>0</xdr:col>
      <xdr:colOff>1368000</xdr:colOff>
      <xdr:row>41</xdr:row>
      <xdr:rowOff>204618</xdr:rowOff>
    </xdr:to>
    <xdr:pic>
      <xdr:nvPicPr>
        <xdr:cNvPr id="3" name="Image 2" descr="Haut de page.jpg">
          <a:extLst>
            <a:ext uri="{FF2B5EF4-FFF2-40B4-BE49-F238E27FC236}">
              <a16:creationId xmlns:a16="http://schemas.microsoft.com/office/drawing/2014/main" id="{35B7D304-3A5D-4BC3-ACC0-5C765431E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184281"/>
          <a:ext cx="1368000" cy="373137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58</xdr:row>
      <xdr:rowOff>403</xdr:rowOff>
    </xdr:from>
    <xdr:to>
      <xdr:col>0</xdr:col>
      <xdr:colOff>1368000</xdr:colOff>
      <xdr:row>60</xdr:row>
      <xdr:rowOff>68039</xdr:rowOff>
    </xdr:to>
    <xdr:pic>
      <xdr:nvPicPr>
        <xdr:cNvPr id="4" name="Image 3" descr="Haut de page.jpg">
          <a:extLst>
            <a:ext uri="{FF2B5EF4-FFF2-40B4-BE49-F238E27FC236}">
              <a16:creationId xmlns:a16="http://schemas.microsoft.com/office/drawing/2014/main" id="{97B861D0-5BFE-4A55-8DF3-5178AABF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905903"/>
          <a:ext cx="1368000" cy="372436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97</xdr:row>
      <xdr:rowOff>158750</xdr:rowOff>
    </xdr:from>
    <xdr:to>
      <xdr:col>0</xdr:col>
      <xdr:colOff>1368000</xdr:colOff>
      <xdr:row>99</xdr:row>
      <xdr:rowOff>35882</xdr:rowOff>
    </xdr:to>
    <xdr:pic>
      <xdr:nvPicPr>
        <xdr:cNvPr id="5" name="Image 4" descr="Haut de page.jpg">
          <a:extLst>
            <a:ext uri="{FF2B5EF4-FFF2-40B4-BE49-F238E27FC236}">
              <a16:creationId xmlns:a16="http://schemas.microsoft.com/office/drawing/2014/main" id="{817C46C6-BCEC-4DAE-94A1-9504DC556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483600"/>
          <a:ext cx="1368000" cy="372433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137</xdr:row>
      <xdr:rowOff>24216</xdr:rowOff>
    </xdr:from>
    <xdr:to>
      <xdr:col>0</xdr:col>
      <xdr:colOff>1368000</xdr:colOff>
      <xdr:row>138</xdr:row>
      <xdr:rowOff>150058</xdr:rowOff>
    </xdr:to>
    <xdr:pic>
      <xdr:nvPicPr>
        <xdr:cNvPr id="6" name="Image 5" descr="Haut de page.jpg">
          <a:extLst>
            <a:ext uri="{FF2B5EF4-FFF2-40B4-BE49-F238E27FC236}">
              <a16:creationId xmlns:a16="http://schemas.microsoft.com/office/drawing/2014/main" id="{5A6D7DB2-6D00-492A-BE0A-2058BCD3B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958916"/>
          <a:ext cx="1368000" cy="369259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182</xdr:row>
      <xdr:rowOff>24217</xdr:rowOff>
    </xdr:from>
    <xdr:to>
      <xdr:col>0</xdr:col>
      <xdr:colOff>1368000</xdr:colOff>
      <xdr:row>183</xdr:row>
      <xdr:rowOff>173916</xdr:rowOff>
    </xdr:to>
    <xdr:pic>
      <xdr:nvPicPr>
        <xdr:cNvPr id="7" name="Image 6" descr="Haut de page.jpg">
          <a:extLst>
            <a:ext uri="{FF2B5EF4-FFF2-40B4-BE49-F238E27FC236}">
              <a16:creationId xmlns:a16="http://schemas.microsoft.com/office/drawing/2014/main" id="{0DF36D00-CA8E-48EB-B1D2-0143F0BC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521267"/>
          <a:ext cx="1368000" cy="359249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205</xdr:row>
      <xdr:rowOff>0</xdr:rowOff>
    </xdr:from>
    <xdr:to>
      <xdr:col>0</xdr:col>
      <xdr:colOff>1368000</xdr:colOff>
      <xdr:row>206</xdr:row>
      <xdr:rowOff>157592</xdr:rowOff>
    </xdr:to>
    <xdr:pic>
      <xdr:nvPicPr>
        <xdr:cNvPr id="8" name="Image 7" descr="Haut de page.jpg">
          <a:extLst>
            <a:ext uri="{FF2B5EF4-FFF2-40B4-BE49-F238E27FC236}">
              <a16:creationId xmlns:a16="http://schemas.microsoft.com/office/drawing/2014/main" id="{AE2F714A-D78C-44F9-A5F4-1EC97207C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6284642"/>
          <a:ext cx="1368000" cy="369258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C640-963E-42CC-B5F0-4DB706BFCFC0}">
  <sheetPr>
    <pageSetUpPr fitToPage="1"/>
  </sheetPr>
  <dimension ref="A1:T206"/>
  <sheetViews>
    <sheetView tabSelected="1" topLeftCell="A71" zoomScale="90" zoomScaleNormal="90" workbookViewId="0">
      <selection activeCell="R106" sqref="R106"/>
    </sheetView>
  </sheetViews>
  <sheetFormatPr baseColWidth="10" defaultColWidth="11.453125" defaultRowHeight="14"/>
  <cols>
    <col min="1" max="1" width="20.7265625" style="6" customWidth="1"/>
    <col min="2" max="2" width="10" style="1" customWidth="1"/>
    <col min="3" max="3" width="0.81640625" style="1" customWidth="1"/>
    <col min="4" max="4" width="8.7265625" style="1" customWidth="1"/>
    <col min="5" max="5" width="8" style="1" customWidth="1"/>
    <col min="6" max="6" width="1.81640625" style="1" customWidth="1"/>
    <col min="7" max="10" width="8.7265625" style="1" customWidth="1"/>
    <col min="11" max="11" width="0.81640625" style="1" customWidth="1"/>
    <col min="12" max="12" width="8.7265625" style="1" customWidth="1"/>
    <col min="13" max="14" width="11.453125" style="82" customWidth="1"/>
    <col min="15" max="16384" width="11.453125" style="1"/>
  </cols>
  <sheetData>
    <row r="1" spans="1:14" ht="37" customHeight="1"/>
    <row r="2" spans="1:14" ht="20">
      <c r="A2" s="2" t="s">
        <v>5</v>
      </c>
    </row>
    <row r="3" spans="1:14" ht="20.149999999999999" customHeight="1">
      <c r="A3" s="16" t="s">
        <v>51</v>
      </c>
      <c r="B3" s="15" t="s">
        <v>17</v>
      </c>
      <c r="C3" s="45"/>
      <c r="D3" s="77" t="s">
        <v>21</v>
      </c>
      <c r="E3" s="64" t="s">
        <v>20</v>
      </c>
      <c r="F3" s="5"/>
      <c r="G3" s="67" t="s">
        <v>2</v>
      </c>
      <c r="H3" s="11" t="s">
        <v>3</v>
      </c>
      <c r="I3" s="11" t="s">
        <v>4</v>
      </c>
      <c r="J3" s="11" t="s">
        <v>25</v>
      </c>
      <c r="K3" s="46"/>
      <c r="L3" s="64" t="s">
        <v>19</v>
      </c>
    </row>
    <row r="4" spans="1:14" ht="5.15" customHeight="1">
      <c r="B4" s="3"/>
      <c r="C4" s="3"/>
      <c r="D4" s="5"/>
      <c r="F4" s="5"/>
      <c r="G4" s="5"/>
      <c r="H4" s="5"/>
      <c r="I4" s="5"/>
      <c r="J4" s="5"/>
      <c r="K4" s="3"/>
    </row>
    <row r="5" spans="1:14" ht="15" customHeight="1">
      <c r="B5" s="177" t="s">
        <v>0</v>
      </c>
      <c r="D5" s="43"/>
      <c r="E5" s="170"/>
      <c r="F5" s="71"/>
      <c r="G5" s="41">
        <v>46.72</v>
      </c>
      <c r="H5" s="41">
        <v>69.42</v>
      </c>
      <c r="I5" s="41">
        <v>86.74</v>
      </c>
      <c r="J5" s="41">
        <v>106.3</v>
      </c>
      <c r="L5" s="175">
        <f>SUM(G5:J6)</f>
        <v>309.18</v>
      </c>
      <c r="M5" s="83"/>
      <c r="N5" s="83"/>
    </row>
    <row r="6" spans="1:14" ht="15" customHeight="1">
      <c r="A6" s="95">
        <v>46028</v>
      </c>
      <c r="B6" s="177"/>
      <c r="D6" s="44"/>
      <c r="E6" s="170"/>
      <c r="F6" s="71"/>
      <c r="G6" s="42"/>
      <c r="H6" s="42"/>
      <c r="I6" s="42"/>
      <c r="J6" s="42"/>
      <c r="L6" s="175"/>
      <c r="M6" s="83"/>
      <c r="N6" s="83"/>
    </row>
    <row r="7" spans="1:14" ht="5.15" customHeight="1">
      <c r="A7" s="5"/>
      <c r="B7" s="39"/>
      <c r="D7" s="6"/>
      <c r="E7" s="17"/>
      <c r="F7" s="6"/>
      <c r="G7" s="28"/>
      <c r="H7" s="28"/>
      <c r="I7" s="28"/>
      <c r="J7" s="28"/>
      <c r="L7" s="40"/>
      <c r="M7" s="83"/>
      <c r="N7" s="83"/>
    </row>
    <row r="8" spans="1:14" ht="15" customHeight="1">
      <c r="A8" s="6" t="s">
        <v>26</v>
      </c>
      <c r="B8" s="173" t="s">
        <v>1</v>
      </c>
      <c r="D8" s="43"/>
      <c r="E8" s="17"/>
      <c r="F8" s="6"/>
      <c r="G8" s="41">
        <v>46.71</v>
      </c>
      <c r="H8" s="41">
        <v>69.42</v>
      </c>
      <c r="I8" s="41">
        <v>86.39</v>
      </c>
      <c r="J8" s="41"/>
      <c r="L8" s="175">
        <f>SUM(G8:J9)</f>
        <v>288.39</v>
      </c>
      <c r="M8" s="83"/>
      <c r="N8" s="83"/>
    </row>
    <row r="9" spans="1:14" ht="15" customHeight="1">
      <c r="A9" s="91"/>
      <c r="B9" s="174"/>
      <c r="D9" s="44"/>
      <c r="E9" s="17"/>
      <c r="F9" s="71"/>
      <c r="G9" s="42"/>
      <c r="H9" s="42"/>
      <c r="I9" s="42">
        <v>85.87</v>
      </c>
      <c r="J9" s="42"/>
      <c r="L9" s="175"/>
      <c r="M9" s="83"/>
      <c r="N9" s="83"/>
    </row>
    <row r="10" spans="1:14" ht="5.15" customHeight="1">
      <c r="A10" s="5"/>
      <c r="B10" s="39"/>
      <c r="D10" s="6"/>
      <c r="E10" s="17"/>
      <c r="F10" s="6"/>
      <c r="G10" s="28"/>
      <c r="H10" s="28"/>
      <c r="I10" s="28"/>
      <c r="J10" s="28"/>
      <c r="L10" s="40"/>
      <c r="M10" s="83"/>
      <c r="N10" s="83"/>
    </row>
    <row r="11" spans="1:14" ht="15" customHeight="1">
      <c r="A11" s="50" t="s">
        <v>47</v>
      </c>
      <c r="B11" s="173" t="s">
        <v>34</v>
      </c>
      <c r="D11" s="43"/>
      <c r="E11" s="17"/>
      <c r="F11" s="6"/>
      <c r="G11" s="41"/>
      <c r="H11" s="41"/>
      <c r="I11" s="41">
        <v>89.06</v>
      </c>
      <c r="J11" s="41"/>
      <c r="L11" s="175">
        <f>SUM(G11:J12)</f>
        <v>183.65</v>
      </c>
      <c r="M11" s="83"/>
      <c r="N11" s="83"/>
    </row>
    <row r="12" spans="1:14" ht="15" customHeight="1">
      <c r="A12" s="50" t="s">
        <v>46</v>
      </c>
      <c r="B12" s="174"/>
      <c r="D12" s="44"/>
      <c r="E12" s="17"/>
      <c r="F12" s="71"/>
      <c r="G12" s="42"/>
      <c r="H12" s="42"/>
      <c r="I12" s="42">
        <v>94.59</v>
      </c>
      <c r="J12" s="42"/>
      <c r="L12" s="175"/>
      <c r="M12" s="83"/>
      <c r="N12" s="83"/>
    </row>
    <row r="13" spans="1:14" ht="5.15" customHeight="1">
      <c r="A13" s="5"/>
      <c r="B13" s="39"/>
      <c r="D13" s="6"/>
      <c r="E13" s="17"/>
      <c r="F13" s="6"/>
      <c r="G13" s="28"/>
      <c r="H13" s="28"/>
      <c r="I13" s="28"/>
      <c r="J13" s="28"/>
      <c r="L13" s="40"/>
      <c r="M13" s="83"/>
      <c r="N13" s="83"/>
    </row>
    <row r="14" spans="1:14" ht="16.5" customHeight="1">
      <c r="A14" s="1"/>
      <c r="D14" s="89">
        <f>COUNT(D5:D13)</f>
        <v>0</v>
      </c>
      <c r="E14" s="69" t="s">
        <v>21</v>
      </c>
      <c r="F14" s="7"/>
      <c r="G14" s="29">
        <f>COUNT(G5:G13)</f>
        <v>2</v>
      </c>
      <c r="H14" s="29">
        <f>COUNT(H5:H13)</f>
        <v>2</v>
      </c>
      <c r="I14" s="68">
        <f>COUNT(I5:I13)</f>
        <v>5</v>
      </c>
      <c r="J14" s="68">
        <f>COUNT(J5:J13)</f>
        <v>1</v>
      </c>
      <c r="L14" s="21">
        <f>SUM(G14:J14)</f>
        <v>10</v>
      </c>
      <c r="M14" s="70" t="s">
        <v>14</v>
      </c>
      <c r="N14" s="70"/>
    </row>
    <row r="15" spans="1:14" ht="5.15" customHeight="1">
      <c r="D15" s="6"/>
      <c r="F15" s="6"/>
      <c r="G15" s="6"/>
      <c r="H15" s="6"/>
      <c r="I15" s="6"/>
      <c r="J15" s="6"/>
      <c r="L15" s="22"/>
    </row>
    <row r="16" spans="1:14">
      <c r="A16" s="1"/>
      <c r="D16" s="49">
        <f>SUM(D5:D13)</f>
        <v>0</v>
      </c>
      <c r="E16" s="3" t="s">
        <v>22</v>
      </c>
      <c r="K16" s="30"/>
      <c r="L16" s="148">
        <f>SUM(L5:L13)</f>
        <v>781.21999999999991</v>
      </c>
      <c r="M16" s="70" t="s">
        <v>8</v>
      </c>
      <c r="N16" s="70"/>
    </row>
    <row r="17" spans="1:14" ht="5.15" customHeight="1">
      <c r="E17" s="18"/>
      <c r="I17" s="18"/>
      <c r="J17" s="18"/>
      <c r="K17" s="18"/>
      <c r="L17" s="19"/>
      <c r="M17" s="84"/>
      <c r="N17" s="84"/>
    </row>
    <row r="18" spans="1:14">
      <c r="A18" s="1"/>
      <c r="G18" s="7"/>
      <c r="H18" s="9" t="s">
        <v>24</v>
      </c>
      <c r="I18" s="90" t="e">
        <f>L16/L18</f>
        <v>#REF!</v>
      </c>
      <c r="J18" s="90"/>
      <c r="L18" s="149" t="e">
        <f>#REF!+#REF!+#REF!</f>
        <v>#REF!</v>
      </c>
      <c r="M18" s="70" t="s">
        <v>13</v>
      </c>
      <c r="N18" s="70"/>
    </row>
    <row r="19" spans="1:14" ht="5.15" customHeight="1">
      <c r="A19" s="1"/>
      <c r="G19" s="7"/>
      <c r="H19" s="9"/>
      <c r="I19" s="90"/>
      <c r="J19" s="90"/>
      <c r="L19" s="47"/>
      <c r="M19" s="70"/>
      <c r="N19" s="70"/>
    </row>
    <row r="20" spans="1:14" ht="20.149999999999999" hidden="1" customHeight="1">
      <c r="B20" s="38" t="s">
        <v>15</v>
      </c>
      <c r="C20" s="37"/>
      <c r="D20" s="37"/>
      <c r="F20" s="66"/>
      <c r="G20" s="37"/>
      <c r="H20" s="37"/>
      <c r="I20" s="37"/>
      <c r="J20" s="37"/>
      <c r="K20" s="37"/>
      <c r="L20" s="37"/>
    </row>
    <row r="21" spans="1:14" hidden="1">
      <c r="B21" s="31" t="s">
        <v>30</v>
      </c>
      <c r="C21" s="32"/>
      <c r="D21" s="32"/>
      <c r="E21" s="75"/>
      <c r="F21" s="76"/>
      <c r="G21" s="32"/>
      <c r="H21" s="32"/>
      <c r="I21" s="33"/>
      <c r="J21" s="33"/>
      <c r="K21" s="33"/>
      <c r="L21" s="118">
        <f>L14</f>
        <v>10</v>
      </c>
      <c r="M21" s="119" t="s">
        <v>10</v>
      </c>
      <c r="N21" s="119"/>
    </row>
    <row r="22" spans="1:14" hidden="1">
      <c r="A22" s="6" t="s">
        <v>27</v>
      </c>
      <c r="B22" s="62" t="s">
        <v>31</v>
      </c>
      <c r="E22" s="3"/>
      <c r="I22" s="3"/>
      <c r="J22" s="3"/>
      <c r="K22" s="3"/>
      <c r="L22" s="120" t="e">
        <f>#REF!/50</f>
        <v>#REF!</v>
      </c>
      <c r="M22" s="119" t="s">
        <v>10</v>
      </c>
      <c r="N22" s="119"/>
    </row>
    <row r="23" spans="1:14" hidden="1">
      <c r="A23" s="6" t="s">
        <v>28</v>
      </c>
      <c r="B23" s="62" t="s">
        <v>32</v>
      </c>
      <c r="E23" s="3"/>
      <c r="I23" s="3"/>
      <c r="J23" s="3"/>
      <c r="K23" s="3"/>
      <c r="L23" s="120" t="e">
        <f>#REF!/4</f>
        <v>#REF!</v>
      </c>
      <c r="M23" s="119" t="s">
        <v>10</v>
      </c>
      <c r="N23" s="119"/>
    </row>
    <row r="24" spans="1:14" hidden="1">
      <c r="A24" s="96" t="s">
        <v>35</v>
      </c>
      <c r="B24" s="23"/>
      <c r="I24" s="4"/>
      <c r="J24" s="4" t="s">
        <v>6</v>
      </c>
      <c r="K24" s="4"/>
      <c r="L24" s="73" t="e">
        <f>SUM(L21:L23)</f>
        <v>#REF!</v>
      </c>
      <c r="M24" s="86" t="s">
        <v>10</v>
      </c>
      <c r="N24" s="86"/>
    </row>
    <row r="25" spans="1:14" hidden="1">
      <c r="A25" s="6" t="s">
        <v>36</v>
      </c>
      <c r="B25" s="23"/>
      <c r="L25" s="34"/>
    </row>
    <row r="26" spans="1:14" ht="15" hidden="1" customHeight="1">
      <c r="B26" s="24" t="s">
        <v>11</v>
      </c>
      <c r="E26" s="3"/>
      <c r="L26" s="34"/>
      <c r="M26" s="70"/>
      <c r="N26" s="70"/>
    </row>
    <row r="27" spans="1:14" hidden="1">
      <c r="B27" s="23" t="s">
        <v>12</v>
      </c>
      <c r="L27" s="121"/>
      <c r="M27" s="119" t="s">
        <v>10</v>
      </c>
      <c r="N27" s="119"/>
    </row>
    <row r="28" spans="1:14" hidden="1">
      <c r="B28" s="23" t="s">
        <v>16</v>
      </c>
      <c r="L28" s="121">
        <v>11</v>
      </c>
      <c r="M28" s="119" t="s">
        <v>10</v>
      </c>
      <c r="N28" s="119"/>
    </row>
    <row r="29" spans="1:14" ht="15.5" hidden="1">
      <c r="B29" s="25"/>
      <c r="C29" s="26"/>
      <c r="D29" s="26"/>
      <c r="E29" s="74"/>
      <c r="F29" s="74"/>
      <c r="G29" s="26"/>
      <c r="H29" s="27"/>
      <c r="I29" s="80"/>
      <c r="J29" s="80" t="s">
        <v>6</v>
      </c>
      <c r="K29" s="27"/>
      <c r="L29" s="36">
        <f>SUM(L27:L28)</f>
        <v>11</v>
      </c>
      <c r="M29" s="87" t="s">
        <v>10</v>
      </c>
      <c r="N29" s="87"/>
    </row>
    <row r="30" spans="1:14" hidden="1">
      <c r="E30" s="3"/>
    </row>
    <row r="31" spans="1:14" ht="14.5" hidden="1">
      <c r="B31" s="20" t="s">
        <v>41</v>
      </c>
      <c r="C31"/>
      <c r="D31"/>
      <c r="E31" s="104"/>
      <c r="F31"/>
    </row>
    <row r="32" spans="1:14" ht="14.5" hidden="1">
      <c r="B32" s="107" t="s">
        <v>42</v>
      </c>
      <c r="C32" s="108"/>
      <c r="D32" s="108"/>
      <c r="E32" s="108"/>
      <c r="F32" s="108"/>
      <c r="G32" s="109"/>
      <c r="H32" s="109"/>
      <c r="I32" s="109"/>
      <c r="J32" s="109"/>
      <c r="K32" s="109"/>
      <c r="L32" s="110"/>
    </row>
    <row r="33" spans="1:14" ht="14.5" hidden="1">
      <c r="B33" s="111" t="s">
        <v>43</v>
      </c>
      <c r="C33"/>
      <c r="D33"/>
      <c r="E33"/>
      <c r="F33" s="106">
        <f>P26*1.5</f>
        <v>0</v>
      </c>
      <c r="L33" s="112">
        <f>G14*1.5</f>
        <v>3</v>
      </c>
    </row>
    <row r="34" spans="1:14" ht="14.5" hidden="1">
      <c r="B34" s="111" t="s">
        <v>44</v>
      </c>
      <c r="C34"/>
      <c r="D34"/>
      <c r="E34" s="20"/>
      <c r="F34" s="106">
        <f>(Q26+R26+S26)*3</f>
        <v>0</v>
      </c>
      <c r="L34" s="112">
        <f>(H14+I14+J14)*3</f>
        <v>24</v>
      </c>
    </row>
    <row r="35" spans="1:14" ht="14.5" hidden="1">
      <c r="B35" s="111" t="s">
        <v>45</v>
      </c>
      <c r="C35"/>
      <c r="D35"/>
      <c r="E35" s="20"/>
      <c r="F35" s="106">
        <f>(F33+F34)*0.1</f>
        <v>0</v>
      </c>
      <c r="L35" s="112">
        <f>(L33+L34)*0.1</f>
        <v>2.7</v>
      </c>
    </row>
    <row r="36" spans="1:14" ht="5.15" hidden="1" customHeight="1">
      <c r="B36" s="111"/>
      <c r="C36"/>
      <c r="D36"/>
      <c r="E36" s="20"/>
      <c r="F36" s="106"/>
      <c r="L36" s="112"/>
    </row>
    <row r="37" spans="1:14" ht="15" hidden="1" customHeight="1">
      <c r="B37" s="111"/>
      <c r="C37"/>
      <c r="D37"/>
      <c r="E37" s="20"/>
      <c r="F37" s="106"/>
      <c r="J37" s="4" t="s">
        <v>6</v>
      </c>
      <c r="K37" s="4"/>
      <c r="L37" s="116">
        <f>SUM(L33:L35)</f>
        <v>29.7</v>
      </c>
    </row>
    <row r="38" spans="1:14" ht="5.15" hidden="1" customHeight="1">
      <c r="B38" s="111"/>
      <c r="C38"/>
      <c r="D38"/>
      <c r="E38" s="20"/>
      <c r="F38" s="106"/>
      <c r="L38" s="112"/>
    </row>
    <row r="39" spans="1:14" ht="14.5" hidden="1">
      <c r="B39" s="132"/>
      <c r="C39" s="133"/>
      <c r="D39" s="133"/>
      <c r="E39" s="134"/>
      <c r="F39" s="135">
        <f>SUM(F33:F35)</f>
        <v>0</v>
      </c>
      <c r="G39" s="129"/>
      <c r="H39" s="129"/>
      <c r="I39" s="129"/>
      <c r="J39" s="130" t="s">
        <v>11</v>
      </c>
      <c r="K39" s="130"/>
      <c r="L39" s="131">
        <v>35.65</v>
      </c>
    </row>
    <row r="40" spans="1:14" hidden="1">
      <c r="A40" s="1"/>
    </row>
    <row r="41" spans="1:14">
      <c r="A41" s="1"/>
    </row>
    <row r="42" spans="1:14" ht="20.149999999999999" customHeight="1">
      <c r="A42" s="2"/>
      <c r="B42" s="15" t="s">
        <v>29</v>
      </c>
      <c r="C42" s="45"/>
      <c r="D42" s="77" t="s">
        <v>21</v>
      </c>
      <c r="E42" s="64" t="s">
        <v>20</v>
      </c>
      <c r="F42" s="5"/>
      <c r="G42" s="67" t="s">
        <v>38</v>
      </c>
      <c r="H42" s="11" t="s">
        <v>3</v>
      </c>
      <c r="I42" s="11" t="s">
        <v>4</v>
      </c>
      <c r="J42" s="11" t="s">
        <v>25</v>
      </c>
      <c r="K42" s="46"/>
      <c r="L42" s="64" t="s">
        <v>19</v>
      </c>
    </row>
    <row r="43" spans="1:14" ht="5.15" customHeight="1">
      <c r="B43" s="3"/>
      <c r="C43" s="3"/>
      <c r="D43" s="5"/>
      <c r="F43" s="5"/>
      <c r="G43" s="5"/>
      <c r="H43" s="5"/>
      <c r="I43" s="5"/>
      <c r="J43" s="5"/>
      <c r="K43" s="3"/>
    </row>
    <row r="44" spans="1:14" ht="15" customHeight="1">
      <c r="A44" s="1"/>
      <c r="B44" s="177" t="s">
        <v>0</v>
      </c>
      <c r="D44" s="43"/>
      <c r="E44" s="170"/>
      <c r="F44" s="71"/>
      <c r="G44" s="41">
        <v>46.69</v>
      </c>
      <c r="H44" s="41">
        <v>68.459999999999994</v>
      </c>
      <c r="I44" s="41">
        <v>86.3</v>
      </c>
      <c r="J44" s="41"/>
      <c r="L44" s="175">
        <f>SUM(G44:J45)</f>
        <v>201.45</v>
      </c>
      <c r="M44" s="83"/>
      <c r="N44" s="83"/>
    </row>
    <row r="45" spans="1:14" ht="15" customHeight="1">
      <c r="A45" s="1"/>
      <c r="B45" s="177"/>
      <c r="D45" s="44"/>
      <c r="E45" s="170"/>
      <c r="F45" s="71"/>
      <c r="G45" s="42"/>
      <c r="H45" s="42"/>
      <c r="I45" s="42"/>
      <c r="J45" s="42"/>
      <c r="L45" s="175"/>
      <c r="M45" s="83"/>
      <c r="N45" s="83"/>
    </row>
    <row r="46" spans="1:14" ht="5.15" customHeight="1">
      <c r="B46" s="39"/>
      <c r="D46" s="6"/>
      <c r="E46" s="17"/>
      <c r="F46" s="6"/>
      <c r="G46" s="28"/>
      <c r="H46" s="28"/>
      <c r="I46" s="28"/>
      <c r="J46" s="28"/>
      <c r="L46" s="40"/>
      <c r="M46" s="83"/>
      <c r="N46" s="83"/>
    </row>
    <row r="47" spans="1:14" ht="15" customHeight="1">
      <c r="A47" s="1"/>
      <c r="B47" s="173" t="s">
        <v>1</v>
      </c>
      <c r="D47" s="43"/>
      <c r="E47" s="17"/>
      <c r="F47" s="6"/>
      <c r="G47" s="41">
        <v>46.68</v>
      </c>
      <c r="H47" s="41">
        <v>68.459999999999994</v>
      </c>
      <c r="I47" s="41">
        <v>86.3</v>
      </c>
      <c r="J47" s="41"/>
      <c r="L47" s="175">
        <f>SUM(G47:J48)</f>
        <v>201.44</v>
      </c>
      <c r="M47" s="83"/>
      <c r="N47" s="83"/>
    </row>
    <row r="48" spans="1:14" ht="15" customHeight="1">
      <c r="A48" s="5"/>
      <c r="B48" s="174"/>
      <c r="D48" s="44"/>
      <c r="E48" s="17"/>
      <c r="F48" s="71"/>
      <c r="G48" s="42"/>
      <c r="H48" s="42"/>
      <c r="I48" s="42"/>
      <c r="J48" s="42"/>
      <c r="L48" s="175"/>
      <c r="M48" s="83"/>
      <c r="N48" s="83"/>
    </row>
    <row r="49" spans="1:14" ht="5.15" customHeight="1">
      <c r="B49" s="39"/>
      <c r="D49" s="6"/>
      <c r="E49" s="17"/>
      <c r="F49" s="6"/>
      <c r="G49" s="28"/>
      <c r="H49" s="28"/>
      <c r="I49" s="28"/>
      <c r="J49" s="28"/>
      <c r="L49" s="40"/>
      <c r="M49" s="83"/>
      <c r="N49" s="83"/>
    </row>
    <row r="50" spans="1:14" ht="15" customHeight="1">
      <c r="A50" s="1"/>
      <c r="B50" s="173" t="s">
        <v>23</v>
      </c>
      <c r="D50" s="43"/>
      <c r="E50" s="17"/>
      <c r="F50" s="6"/>
      <c r="G50" s="41"/>
      <c r="H50" s="41"/>
      <c r="I50" s="41">
        <v>89.28</v>
      </c>
      <c r="J50" s="41"/>
      <c r="L50" s="175">
        <f>SUM(G50:J51)</f>
        <v>184.03</v>
      </c>
      <c r="M50" s="83"/>
      <c r="N50" s="83"/>
    </row>
    <row r="51" spans="1:14" ht="15" customHeight="1">
      <c r="A51" s="5"/>
      <c r="B51" s="174"/>
      <c r="D51" s="44"/>
      <c r="E51" s="17"/>
      <c r="F51" s="71"/>
      <c r="G51" s="42"/>
      <c r="H51" s="42"/>
      <c r="I51" s="42">
        <v>94.75</v>
      </c>
      <c r="J51" s="42"/>
      <c r="L51" s="175"/>
      <c r="M51" s="83"/>
      <c r="N51" s="83"/>
    </row>
    <row r="52" spans="1:14" ht="5.15" customHeight="1">
      <c r="A52" s="5"/>
      <c r="B52" s="39"/>
      <c r="D52" s="6"/>
      <c r="E52" s="17"/>
      <c r="F52" s="6"/>
      <c r="G52" s="28"/>
      <c r="H52" s="28"/>
      <c r="I52" s="28"/>
      <c r="J52" s="28"/>
      <c r="L52" s="40"/>
      <c r="M52" s="83"/>
      <c r="N52" s="83"/>
    </row>
    <row r="53" spans="1:14" ht="16.5" customHeight="1">
      <c r="A53" s="50"/>
      <c r="D53" s="89">
        <f>COUNT(D44:D52)</f>
        <v>0</v>
      </c>
      <c r="E53" s="69" t="s">
        <v>21</v>
      </c>
      <c r="F53" s="7"/>
      <c r="G53" s="29">
        <f>COUNT(G44:G52)</f>
        <v>2</v>
      </c>
      <c r="H53" s="29">
        <f>COUNT(H44:H52)</f>
        <v>2</v>
      </c>
      <c r="I53" s="68">
        <f>COUNT(I44:I52)</f>
        <v>4</v>
      </c>
      <c r="J53" s="68">
        <f>COUNT(J44:J52)</f>
        <v>0</v>
      </c>
      <c r="L53" s="21">
        <f>SUM(G53:J53)</f>
        <v>8</v>
      </c>
      <c r="M53" s="70" t="s">
        <v>14</v>
      </c>
      <c r="N53" s="70"/>
    </row>
    <row r="54" spans="1:14" ht="5.15" customHeight="1">
      <c r="D54" s="6"/>
      <c r="F54" s="6"/>
      <c r="G54" s="6"/>
      <c r="H54" s="6"/>
      <c r="I54" s="6"/>
      <c r="J54" s="6"/>
      <c r="L54" s="22"/>
    </row>
    <row r="55" spans="1:14">
      <c r="D55" s="49">
        <f>SUM(D44:D52)</f>
        <v>0</v>
      </c>
      <c r="E55" s="3" t="s">
        <v>22</v>
      </c>
      <c r="K55" s="30"/>
      <c r="L55" s="148">
        <f>SUM(L44:L52)</f>
        <v>586.91999999999996</v>
      </c>
      <c r="M55" s="70" t="s">
        <v>8</v>
      </c>
      <c r="N55" s="70"/>
    </row>
    <row r="56" spans="1:14" ht="5.15" customHeight="1">
      <c r="E56" s="18"/>
      <c r="I56" s="18"/>
      <c r="J56" s="18"/>
      <c r="K56" s="18"/>
      <c r="L56" s="19"/>
      <c r="M56" s="84"/>
      <c r="N56" s="84"/>
    </row>
    <row r="57" spans="1:14">
      <c r="G57" s="7"/>
      <c r="H57" s="9" t="s">
        <v>24</v>
      </c>
      <c r="I57" s="90" t="e">
        <f>L55/L57</f>
        <v>#REF!</v>
      </c>
      <c r="J57" s="90"/>
      <c r="L57" s="149" t="e">
        <f>#REF!+#REF!+#REF!</f>
        <v>#REF!</v>
      </c>
      <c r="M57" s="70" t="s">
        <v>13</v>
      </c>
      <c r="N57" s="70"/>
    </row>
    <row r="58" spans="1:14">
      <c r="A58" s="1"/>
    </row>
    <row r="59" spans="1:14" ht="20.149999999999999" customHeight="1">
      <c r="A59" s="2"/>
      <c r="B59" s="53" t="s">
        <v>33</v>
      </c>
      <c r="C59" s="5"/>
      <c r="D59" s="156" t="s">
        <v>21</v>
      </c>
      <c r="E59" s="99" t="s">
        <v>20</v>
      </c>
      <c r="F59" s="100"/>
      <c r="G59" s="155" t="s">
        <v>2</v>
      </c>
      <c r="H59" s="155" t="s">
        <v>3</v>
      </c>
      <c r="I59" s="155" t="s">
        <v>4</v>
      </c>
      <c r="J59" s="155" t="s">
        <v>25</v>
      </c>
      <c r="K59" s="100"/>
      <c r="L59" s="157" t="s">
        <v>19</v>
      </c>
    </row>
    <row r="60" spans="1:14" ht="5.15" customHeight="1">
      <c r="B60" s="3"/>
      <c r="C60" s="3"/>
      <c r="D60" s="5"/>
      <c r="F60" s="5"/>
      <c r="G60" s="5"/>
      <c r="H60" s="5"/>
      <c r="I60" s="5"/>
      <c r="J60" s="5"/>
      <c r="K60" s="3"/>
    </row>
    <row r="61" spans="1:14" ht="15" customHeight="1">
      <c r="A61" s="1"/>
      <c r="B61" s="178" t="s">
        <v>0</v>
      </c>
      <c r="D61" s="43"/>
      <c r="E61" s="170"/>
      <c r="F61" s="71"/>
      <c r="G61" s="41">
        <v>49.02</v>
      </c>
      <c r="H61" s="41">
        <v>67.97</v>
      </c>
      <c r="I61" s="41">
        <v>86.02</v>
      </c>
      <c r="J61" s="41"/>
      <c r="L61" s="180">
        <f>SUM(G61:J62)</f>
        <v>203.01</v>
      </c>
      <c r="M61" s="101"/>
      <c r="N61" s="101"/>
    </row>
    <row r="62" spans="1:14" ht="15" customHeight="1">
      <c r="A62" s="1"/>
      <c r="B62" s="179"/>
      <c r="D62" s="44"/>
      <c r="E62" s="170"/>
      <c r="F62" s="71"/>
      <c r="G62" s="42"/>
      <c r="H62" s="42"/>
      <c r="I62" s="42"/>
      <c r="J62" s="42"/>
      <c r="L62" s="180"/>
      <c r="M62" s="101"/>
      <c r="N62" s="101"/>
    </row>
    <row r="63" spans="1:14" ht="5.15" customHeight="1">
      <c r="B63" s="152"/>
      <c r="D63" s="6"/>
      <c r="E63" s="17"/>
      <c r="F63" s="6"/>
      <c r="G63" s="28"/>
      <c r="H63" s="28"/>
      <c r="I63" s="28"/>
      <c r="J63" s="28"/>
      <c r="L63" s="60"/>
      <c r="M63" s="101"/>
      <c r="N63" s="101"/>
    </row>
    <row r="64" spans="1:14" ht="15" customHeight="1">
      <c r="A64" s="1"/>
      <c r="B64" s="178" t="s">
        <v>1</v>
      </c>
      <c r="D64" s="43"/>
      <c r="E64" s="17"/>
      <c r="F64" s="6"/>
      <c r="G64" s="41">
        <v>49.41</v>
      </c>
      <c r="H64" s="41">
        <v>67.959999999999994</v>
      </c>
      <c r="I64" s="41">
        <v>85.58</v>
      </c>
      <c r="J64" s="41"/>
      <c r="L64" s="180">
        <f>SUM(G64:J65)</f>
        <v>202.95</v>
      </c>
      <c r="M64" s="101"/>
      <c r="N64" s="101"/>
    </row>
    <row r="65" spans="1:14" ht="15" customHeight="1">
      <c r="A65" s="5"/>
      <c r="B65" s="179"/>
      <c r="D65" s="44"/>
      <c r="E65" s="17"/>
      <c r="F65" s="71"/>
      <c r="G65" s="42"/>
      <c r="H65" s="42"/>
      <c r="I65" s="42"/>
      <c r="J65" s="42"/>
      <c r="L65" s="180"/>
      <c r="M65" s="101"/>
      <c r="N65" s="101"/>
    </row>
    <row r="66" spans="1:14" ht="5.15" customHeight="1">
      <c r="B66" s="152"/>
      <c r="D66" s="6"/>
      <c r="E66" s="17"/>
      <c r="F66" s="6"/>
      <c r="G66" s="28"/>
      <c r="H66" s="28"/>
      <c r="I66" s="28"/>
      <c r="J66" s="28"/>
      <c r="L66" s="60"/>
      <c r="M66" s="101"/>
      <c r="N66" s="101"/>
    </row>
    <row r="67" spans="1:14" ht="15" customHeight="1">
      <c r="A67" s="1"/>
      <c r="B67" s="178" t="s">
        <v>23</v>
      </c>
      <c r="D67" s="43"/>
      <c r="E67" s="17"/>
      <c r="F67" s="6"/>
      <c r="G67" s="41"/>
      <c r="H67" s="41"/>
      <c r="I67" s="41">
        <v>90.14</v>
      </c>
      <c r="J67" s="41"/>
      <c r="L67" s="180">
        <f>SUM(G67:J68)</f>
        <v>186.62</v>
      </c>
      <c r="M67" s="101"/>
      <c r="N67" s="101"/>
    </row>
    <row r="68" spans="1:14" ht="15" customHeight="1">
      <c r="A68" s="5"/>
      <c r="B68" s="179"/>
      <c r="D68" s="44"/>
      <c r="E68" s="17"/>
      <c r="F68" s="71"/>
      <c r="G68" s="42"/>
      <c r="H68" s="42"/>
      <c r="I68" s="42"/>
      <c r="J68" s="42">
        <v>96.48</v>
      </c>
      <c r="L68" s="180"/>
      <c r="M68" s="101"/>
      <c r="N68" s="101"/>
    </row>
    <row r="69" spans="1:14" ht="5.15" customHeight="1">
      <c r="A69" s="5"/>
      <c r="B69" s="100"/>
      <c r="D69" s="6"/>
      <c r="E69" s="17"/>
      <c r="F69" s="6"/>
      <c r="G69" s="28"/>
      <c r="H69" s="28"/>
      <c r="I69" s="28"/>
      <c r="J69" s="28"/>
      <c r="L69" s="60"/>
      <c r="M69" s="101"/>
      <c r="N69" s="101"/>
    </row>
    <row r="70" spans="1:14" ht="16.5" customHeight="1">
      <c r="A70" s="50"/>
      <c r="D70" s="153">
        <f>COUNT(D61:D69)</f>
        <v>0</v>
      </c>
      <c r="E70" s="103" t="s">
        <v>21</v>
      </c>
      <c r="F70" s="54"/>
      <c r="G70" s="154">
        <f>COUNT(G61:G69)</f>
        <v>2</v>
      </c>
      <c r="H70" s="154">
        <f>COUNT(H61:H69)</f>
        <v>2</v>
      </c>
      <c r="I70" s="154">
        <f>COUNT(I61:I69)</f>
        <v>3</v>
      </c>
      <c r="J70" s="154">
        <f>COUNT(J61:J69)</f>
        <v>1</v>
      </c>
      <c r="L70" s="102">
        <f>SUM(G70:J70)</f>
        <v>8</v>
      </c>
      <c r="M70" s="85" t="s">
        <v>14</v>
      </c>
      <c r="N70" s="85"/>
    </row>
    <row r="71" spans="1:14" ht="5.15" customHeight="1">
      <c r="D71" s="6"/>
      <c r="F71" s="6"/>
      <c r="G71" s="6"/>
      <c r="H71" s="6"/>
      <c r="I71" s="6"/>
      <c r="J71" s="6"/>
      <c r="L71" s="22"/>
    </row>
    <row r="72" spans="1:14">
      <c r="D72" s="162">
        <f>SUM(D61:D69)</f>
        <v>0</v>
      </c>
      <c r="E72" s="56" t="s">
        <v>22</v>
      </c>
      <c r="K72" s="4"/>
      <c r="L72" s="161">
        <f>SUM(L61:L69)</f>
        <v>592.57999999999993</v>
      </c>
      <c r="M72" s="85" t="s">
        <v>8</v>
      </c>
      <c r="N72" s="85"/>
    </row>
    <row r="73" spans="1:14" ht="5.15" customHeight="1">
      <c r="E73" s="18"/>
      <c r="I73" s="18"/>
      <c r="J73" s="18"/>
      <c r="K73" s="18"/>
      <c r="L73" s="19"/>
      <c r="M73" s="85"/>
      <c r="N73" s="85"/>
    </row>
    <row r="74" spans="1:14">
      <c r="G74" s="7"/>
      <c r="H74" s="9" t="s">
        <v>24</v>
      </c>
      <c r="I74" s="151" t="e">
        <f>L72/L74</f>
        <v>#REF!</v>
      </c>
      <c r="J74" s="90"/>
      <c r="L74" s="150" t="e">
        <f>#REF!+#REF!+#REF!</f>
        <v>#REF!</v>
      </c>
      <c r="M74" s="85" t="s">
        <v>13</v>
      </c>
      <c r="N74" s="85"/>
    </row>
    <row r="75" spans="1:14" ht="5.15" customHeight="1">
      <c r="A75" s="1"/>
      <c r="B75" s="139"/>
      <c r="C75" s="5"/>
      <c r="D75" s="140"/>
      <c r="E75" s="99"/>
      <c r="F75" s="100"/>
      <c r="G75" s="100"/>
      <c r="H75" s="100"/>
      <c r="I75" s="100"/>
      <c r="J75" s="100"/>
      <c r="K75" s="100"/>
      <c r="L75" s="99"/>
    </row>
    <row r="76" spans="1:14" ht="20.149999999999999" hidden="1" customHeight="1">
      <c r="B76" s="38" t="s">
        <v>15</v>
      </c>
      <c r="C76" s="37"/>
      <c r="D76" s="37"/>
      <c r="F76" s="66"/>
      <c r="G76" s="37"/>
      <c r="H76" s="37"/>
      <c r="I76" s="37"/>
      <c r="J76" s="37"/>
      <c r="K76" s="37"/>
      <c r="L76" s="37"/>
    </row>
    <row r="77" spans="1:14" hidden="1">
      <c r="B77" s="62" t="s">
        <v>31</v>
      </c>
      <c r="E77" s="3"/>
      <c r="I77" s="3"/>
      <c r="J77" s="3"/>
      <c r="K77" s="3"/>
      <c r="L77" s="120" t="e">
        <f>L74/50</f>
        <v>#REF!</v>
      </c>
      <c r="M77" s="119" t="s">
        <v>10</v>
      </c>
      <c r="N77" s="119"/>
    </row>
    <row r="78" spans="1:14" hidden="1">
      <c r="B78" s="62" t="s">
        <v>32</v>
      </c>
      <c r="E78" s="3"/>
      <c r="I78" s="3"/>
      <c r="J78" s="3"/>
      <c r="K78" s="3"/>
      <c r="L78" s="120">
        <f>L70/4</f>
        <v>2</v>
      </c>
      <c r="M78" s="119" t="s">
        <v>10</v>
      </c>
      <c r="N78" s="119"/>
    </row>
    <row r="79" spans="1:14" hidden="1">
      <c r="A79" s="96"/>
      <c r="B79" s="23"/>
      <c r="I79" s="4"/>
      <c r="J79" s="4" t="s">
        <v>6</v>
      </c>
      <c r="K79" s="4"/>
      <c r="L79" s="73" t="e">
        <f>SUM(L77:L78)</f>
        <v>#REF!</v>
      </c>
      <c r="M79" s="86" t="s">
        <v>10</v>
      </c>
      <c r="N79" s="86"/>
    </row>
    <row r="80" spans="1:14" hidden="1">
      <c r="B80" s="23"/>
      <c r="L80" s="34"/>
    </row>
    <row r="81" spans="1:14" ht="15" hidden="1" customHeight="1">
      <c r="B81" s="24" t="s">
        <v>11</v>
      </c>
      <c r="E81" s="3"/>
      <c r="L81" s="34"/>
      <c r="M81" s="70"/>
      <c r="N81" s="70"/>
    </row>
    <row r="82" spans="1:14" hidden="1">
      <c r="B82" s="23" t="s">
        <v>12</v>
      </c>
      <c r="L82" s="122">
        <f>10+5</f>
        <v>15</v>
      </c>
      <c r="M82" s="119" t="s">
        <v>10</v>
      </c>
      <c r="N82" s="119"/>
    </row>
    <row r="83" spans="1:14" hidden="1">
      <c r="B83" s="23" t="s">
        <v>16</v>
      </c>
      <c r="L83" s="122">
        <v>7</v>
      </c>
      <c r="M83" s="119" t="s">
        <v>10</v>
      </c>
      <c r="N83" s="119"/>
    </row>
    <row r="84" spans="1:14" ht="15.5" hidden="1">
      <c r="B84" s="25"/>
      <c r="C84" s="26"/>
      <c r="D84" s="26"/>
      <c r="E84" s="74"/>
      <c r="F84" s="74"/>
      <c r="G84" s="26"/>
      <c r="H84" s="27"/>
      <c r="I84" s="80"/>
      <c r="J84" s="80" t="s">
        <v>6</v>
      </c>
      <c r="K84" s="27"/>
      <c r="L84" s="36">
        <f>SUM(L82:L83)</f>
        <v>22</v>
      </c>
      <c r="M84" s="87" t="s">
        <v>10</v>
      </c>
      <c r="N84" s="87"/>
    </row>
    <row r="85" spans="1:14" ht="15.5" hidden="1">
      <c r="H85" s="105"/>
      <c r="I85" s="4"/>
      <c r="J85" s="4"/>
      <c r="K85" s="105"/>
      <c r="L85" s="105"/>
      <c r="M85" s="87"/>
      <c r="N85" s="87"/>
    </row>
    <row r="86" spans="1:14" ht="14.5" hidden="1">
      <c r="B86" s="20" t="s">
        <v>41</v>
      </c>
      <c r="C86"/>
      <c r="D86"/>
      <c r="E86" s="104"/>
      <c r="F86"/>
    </row>
    <row r="87" spans="1:14" ht="14.5" hidden="1">
      <c r="B87" s="107" t="s">
        <v>42</v>
      </c>
      <c r="C87" s="108"/>
      <c r="D87" s="108"/>
      <c r="E87" s="108"/>
      <c r="F87" s="108"/>
      <c r="G87" s="109"/>
      <c r="H87" s="109"/>
      <c r="I87" s="109"/>
      <c r="J87" s="109"/>
      <c r="K87" s="109"/>
      <c r="L87" s="110"/>
    </row>
    <row r="88" spans="1:14" ht="14.5" hidden="1">
      <c r="B88" s="111" t="s">
        <v>43</v>
      </c>
      <c r="C88"/>
      <c r="D88"/>
      <c r="E88"/>
      <c r="F88" s="106">
        <f>P80*1.5</f>
        <v>0</v>
      </c>
      <c r="L88" s="112">
        <f>G70*1.5</f>
        <v>3</v>
      </c>
    </row>
    <row r="89" spans="1:14" ht="14.5" hidden="1">
      <c r="B89" s="111" t="s">
        <v>44</v>
      </c>
      <c r="C89"/>
      <c r="D89"/>
      <c r="E89" s="20"/>
      <c r="F89" s="106">
        <f>(Q80+R80+S80)*3</f>
        <v>0</v>
      </c>
      <c r="L89" s="112">
        <f>(H70+I70+J70)*3</f>
        <v>18</v>
      </c>
    </row>
    <row r="90" spans="1:14" ht="14.5" hidden="1">
      <c r="B90" s="111" t="s">
        <v>45</v>
      </c>
      <c r="C90"/>
      <c r="D90"/>
      <c r="E90" s="20"/>
      <c r="F90" s="106">
        <f>(F88+F89)*0.1</f>
        <v>0</v>
      </c>
      <c r="L90" s="112">
        <f>(L88+L89)*0.1</f>
        <v>2.1</v>
      </c>
    </row>
    <row r="91" spans="1:14" ht="5.15" hidden="1" customHeight="1">
      <c r="B91" s="111"/>
      <c r="C91"/>
      <c r="D91"/>
      <c r="E91" s="20"/>
      <c r="F91" s="106"/>
      <c r="L91" s="112"/>
    </row>
    <row r="92" spans="1:14" ht="15" hidden="1" customHeight="1">
      <c r="B92" s="111"/>
      <c r="C92"/>
      <c r="D92"/>
      <c r="E92" s="20"/>
      <c r="F92" s="106"/>
      <c r="J92" s="4" t="s">
        <v>6</v>
      </c>
      <c r="K92" s="4"/>
      <c r="L92" s="116">
        <f>SUM(L88:L90)</f>
        <v>23.1</v>
      </c>
    </row>
    <row r="93" spans="1:14" ht="5.15" hidden="1" customHeight="1">
      <c r="B93" s="111"/>
      <c r="C93"/>
      <c r="D93"/>
      <c r="E93" s="20"/>
      <c r="F93" s="106"/>
      <c r="J93" s="4"/>
      <c r="K93" s="4"/>
      <c r="L93" s="117"/>
    </row>
    <row r="94" spans="1:14" ht="15" hidden="1" customHeight="1">
      <c r="B94" s="125"/>
      <c r="C94" s="126"/>
      <c r="D94" s="126"/>
      <c r="E94" s="127"/>
      <c r="F94" s="128"/>
      <c r="G94" s="129"/>
      <c r="H94" s="129"/>
      <c r="I94" s="129"/>
      <c r="J94" s="130" t="s">
        <v>11</v>
      </c>
      <c r="K94" s="130"/>
      <c r="L94" s="131">
        <f>5.18+5.18+8.33+8.33</f>
        <v>27.019999999999996</v>
      </c>
    </row>
    <row r="95" spans="1:14" hidden="1">
      <c r="A95" s="1"/>
    </row>
    <row r="96" spans="1:14" hidden="1">
      <c r="A96" s="1"/>
    </row>
    <row r="97" spans="1:14" ht="20.149999999999999" customHeight="1">
      <c r="A97" s="1"/>
      <c r="M97" s="171" t="s">
        <v>52</v>
      </c>
      <c r="N97" s="172" t="s">
        <v>53</v>
      </c>
    </row>
    <row r="98" spans="1:14" ht="20.149999999999999" customHeight="1">
      <c r="A98" s="1"/>
      <c r="M98" s="171"/>
      <c r="N98" s="172"/>
    </row>
    <row r="99" spans="1:14" ht="20.149999999999999" customHeight="1">
      <c r="A99" s="2"/>
      <c r="B99" s="15" t="s">
        <v>37</v>
      </c>
      <c r="C99" s="45"/>
      <c r="D99" s="77" t="s">
        <v>21</v>
      </c>
      <c r="E99" s="64" t="s">
        <v>20</v>
      </c>
      <c r="F99" s="5"/>
      <c r="G99" s="67" t="s">
        <v>2</v>
      </c>
      <c r="H99" s="11" t="s">
        <v>3</v>
      </c>
      <c r="I99" s="11" t="s">
        <v>4</v>
      </c>
      <c r="J99" s="11" t="s">
        <v>25</v>
      </c>
      <c r="K99" s="46"/>
      <c r="L99" s="64" t="s">
        <v>19</v>
      </c>
    </row>
    <row r="100" spans="1:14" ht="5.15" customHeight="1">
      <c r="B100" s="3"/>
      <c r="C100" s="3"/>
      <c r="D100" s="5"/>
      <c r="F100" s="5"/>
      <c r="G100" s="5"/>
      <c r="H100" s="5"/>
      <c r="I100" s="5"/>
      <c r="J100" s="5"/>
      <c r="K100" s="3"/>
      <c r="M100" s="163"/>
      <c r="N100" s="163"/>
    </row>
    <row r="101" spans="1:14" ht="15" customHeight="1">
      <c r="A101" s="1"/>
      <c r="B101" s="177" t="s">
        <v>0</v>
      </c>
      <c r="D101" s="43"/>
      <c r="E101" s="170"/>
      <c r="F101" s="71"/>
      <c r="G101" s="41">
        <v>46.83</v>
      </c>
      <c r="H101" s="41">
        <v>67.62</v>
      </c>
      <c r="I101" s="41">
        <v>85.49</v>
      </c>
      <c r="J101" s="41"/>
      <c r="L101" s="175">
        <f>SUM(G101:J102)</f>
        <v>199.94</v>
      </c>
      <c r="M101" s="164" t="e">
        <f>('Surfaces PRO'!H101-#REF!)+(I101-#REF!)</f>
        <v>#REF!</v>
      </c>
      <c r="N101" s="164">
        <f>(84.95-I101)+(67.41-H101)+(46.69-G101)</f>
        <v>-0.89000000000000057</v>
      </c>
    </row>
    <row r="102" spans="1:14" ht="15" customHeight="1">
      <c r="A102" s="1"/>
      <c r="B102" s="177"/>
      <c r="D102" s="44"/>
      <c r="E102" s="170"/>
      <c r="F102" s="71"/>
      <c r="G102" s="42"/>
      <c r="H102" s="42"/>
      <c r="I102" s="42"/>
      <c r="J102" s="42"/>
      <c r="L102" s="175"/>
      <c r="M102" s="165"/>
      <c r="N102" s="165"/>
    </row>
    <row r="103" spans="1:14" ht="5.15" customHeight="1">
      <c r="B103" s="39"/>
      <c r="D103" s="6"/>
      <c r="E103" s="17"/>
      <c r="F103" s="6"/>
      <c r="G103" s="28"/>
      <c r="H103" s="28"/>
      <c r="I103" s="28"/>
      <c r="J103" s="28"/>
      <c r="L103" s="40"/>
      <c r="M103" s="165"/>
      <c r="N103" s="165"/>
    </row>
    <row r="104" spans="1:14" ht="15" customHeight="1">
      <c r="A104" s="1"/>
      <c r="B104" s="173" t="s">
        <v>1</v>
      </c>
      <c r="D104" s="43"/>
      <c r="E104" s="17"/>
      <c r="F104" s="6"/>
      <c r="G104" s="41">
        <v>46.83</v>
      </c>
      <c r="H104" s="41">
        <v>67.62</v>
      </c>
      <c r="I104" s="41">
        <v>85.49</v>
      </c>
      <c r="J104" s="41"/>
      <c r="L104" s="175">
        <f>SUM(G104:J105)</f>
        <v>199.94</v>
      </c>
      <c r="M104" s="164" t="e">
        <f>(H104-#REF!)+(I104-#REF!)</f>
        <v>#REF!</v>
      </c>
      <c r="N104" s="164">
        <f>(84.95-I104)+(67.41-H104)+(46.69-G104)</f>
        <v>-0.89000000000000057</v>
      </c>
    </row>
    <row r="105" spans="1:14" ht="15" customHeight="1">
      <c r="A105" s="5"/>
      <c r="B105" s="174"/>
      <c r="D105" s="44"/>
      <c r="E105" s="17"/>
      <c r="F105" s="71"/>
      <c r="G105" s="42"/>
      <c r="H105" s="42"/>
      <c r="I105" s="42"/>
      <c r="J105" s="42"/>
      <c r="L105" s="175"/>
      <c r="M105" s="83"/>
      <c r="N105" s="83"/>
    </row>
    <row r="106" spans="1:14" ht="5.15" customHeight="1">
      <c r="B106" s="39"/>
      <c r="D106" s="6"/>
      <c r="E106" s="17"/>
      <c r="F106" s="6"/>
      <c r="G106" s="28"/>
      <c r="H106" s="28"/>
      <c r="I106" s="28"/>
      <c r="J106" s="28"/>
      <c r="L106" s="40"/>
      <c r="M106" s="83"/>
      <c r="N106" s="83"/>
    </row>
    <row r="107" spans="1:14" ht="15" customHeight="1">
      <c r="A107" s="1"/>
      <c r="B107" s="173" t="s">
        <v>23</v>
      </c>
      <c r="D107" s="43"/>
      <c r="E107" s="17"/>
      <c r="F107" s="6"/>
      <c r="G107" s="41"/>
      <c r="H107" s="41"/>
      <c r="I107" s="41"/>
      <c r="J107" s="41">
        <v>114.98</v>
      </c>
      <c r="L107" s="175">
        <f>SUM(G107:J108)</f>
        <v>114.98</v>
      </c>
      <c r="M107" s="164" t="e">
        <f>J107-#REF!</f>
        <v>#REF!</v>
      </c>
      <c r="N107" s="164">
        <f>114.39-J107</f>
        <v>-0.59000000000000341</v>
      </c>
    </row>
    <row r="108" spans="1:14" ht="15" customHeight="1">
      <c r="A108" s="5"/>
      <c r="B108" s="174"/>
      <c r="D108" s="44"/>
      <c r="E108" s="17"/>
      <c r="F108" s="71"/>
      <c r="G108" s="42"/>
      <c r="H108" s="42"/>
      <c r="I108" s="42"/>
      <c r="J108" s="42"/>
      <c r="L108" s="175"/>
      <c r="N108" s="83"/>
    </row>
    <row r="109" spans="1:14" ht="5.15" customHeight="1" thickBot="1">
      <c r="A109" s="5"/>
      <c r="B109" s="39"/>
      <c r="D109" s="6"/>
      <c r="E109" s="17"/>
      <c r="F109" s="6"/>
      <c r="G109" s="28"/>
      <c r="H109" s="28"/>
      <c r="I109" s="28"/>
      <c r="J109" s="28"/>
      <c r="L109" s="40"/>
      <c r="M109" s="166"/>
      <c r="N109" s="167"/>
    </row>
    <row r="110" spans="1:14" ht="15" customHeight="1" thickTop="1">
      <c r="A110" s="5"/>
      <c r="B110" s="5"/>
      <c r="D110" s="6"/>
      <c r="E110" s="17"/>
      <c r="F110" s="6"/>
      <c r="G110" s="28"/>
      <c r="H110" s="28"/>
      <c r="I110" s="28"/>
      <c r="J110" s="28"/>
      <c r="L110" s="40"/>
      <c r="M110" s="164" t="e">
        <f>M107+M104+M101</f>
        <v>#REF!</v>
      </c>
      <c r="N110" s="164">
        <f>N107+N104+N101</f>
        <v>-2.3700000000000045</v>
      </c>
    </row>
    <row r="111" spans="1:14" ht="16.5" customHeight="1">
      <c r="A111" s="50"/>
      <c r="D111" s="89">
        <f>COUNT(D101:D109)</f>
        <v>0</v>
      </c>
      <c r="E111" s="69" t="s">
        <v>21</v>
      </c>
      <c r="F111" s="7"/>
      <c r="G111" s="29">
        <f>COUNT(G101:G109)</f>
        <v>2</v>
      </c>
      <c r="H111" s="29">
        <f>COUNT(H101:H109)</f>
        <v>2</v>
      </c>
      <c r="I111" s="29">
        <f>COUNT(I101:I109)</f>
        <v>2</v>
      </c>
      <c r="J111" s="29">
        <f>COUNT(J101:J109)</f>
        <v>1</v>
      </c>
      <c r="L111" s="21">
        <f>SUM(G111:J111)</f>
        <v>7</v>
      </c>
      <c r="M111" s="70" t="s">
        <v>14</v>
      </c>
      <c r="N111" s="1"/>
    </row>
    <row r="112" spans="1:14" ht="5.15" customHeight="1">
      <c r="D112" s="6"/>
      <c r="F112" s="6"/>
      <c r="G112" s="6"/>
      <c r="H112" s="6"/>
      <c r="I112" s="6"/>
      <c r="J112" s="6"/>
      <c r="L112" s="22"/>
    </row>
    <row r="113" spans="1:20">
      <c r="D113" s="49">
        <f>SUM(D101:D109)</f>
        <v>0</v>
      </c>
      <c r="E113" s="3" t="s">
        <v>22</v>
      </c>
      <c r="K113" s="30"/>
      <c r="L113" s="148">
        <f>SUM(L101:L109)</f>
        <v>514.86</v>
      </c>
      <c r="M113" s="70" t="s">
        <v>8</v>
      </c>
      <c r="N113" s="70"/>
    </row>
    <row r="114" spans="1:20" ht="5.15" customHeight="1">
      <c r="E114" s="18"/>
      <c r="I114" s="18"/>
      <c r="J114" s="18"/>
      <c r="K114" s="18"/>
      <c r="L114" s="19"/>
      <c r="M114" s="84"/>
      <c r="N114" s="84"/>
    </row>
    <row r="115" spans="1:20">
      <c r="G115" s="7"/>
      <c r="H115" s="9" t="s">
        <v>24</v>
      </c>
      <c r="I115" s="90" t="e">
        <f>L113/L115</f>
        <v>#REF!</v>
      </c>
      <c r="J115" s="90"/>
      <c r="L115" s="149" t="e">
        <f>#REF!+#REF!+#REF!</f>
        <v>#REF!</v>
      </c>
      <c r="M115" s="70" t="s">
        <v>13</v>
      </c>
      <c r="N115" s="70"/>
    </row>
    <row r="116" spans="1:20" ht="5.15" customHeight="1">
      <c r="A116" s="1"/>
      <c r="G116" s="7"/>
      <c r="H116" s="9"/>
      <c r="I116" s="90"/>
      <c r="J116" s="90"/>
      <c r="L116" s="47"/>
      <c r="M116" s="70"/>
      <c r="N116" s="70"/>
    </row>
    <row r="117" spans="1:20" ht="20.149999999999999" hidden="1" customHeight="1">
      <c r="B117" s="38" t="s">
        <v>15</v>
      </c>
      <c r="C117" s="37"/>
      <c r="D117" s="37"/>
      <c r="F117" s="66"/>
      <c r="G117" s="37"/>
      <c r="H117" s="37"/>
      <c r="I117" s="37"/>
      <c r="J117" s="37"/>
      <c r="K117" s="37"/>
      <c r="L117" s="37"/>
    </row>
    <row r="118" spans="1:20" hidden="1">
      <c r="B118" s="62" t="s">
        <v>31</v>
      </c>
      <c r="E118" s="3"/>
      <c r="I118" s="3"/>
      <c r="J118" s="3"/>
      <c r="K118" s="3"/>
      <c r="L118" s="120" t="e">
        <f>L115/50</f>
        <v>#REF!</v>
      </c>
      <c r="M118" s="119" t="s">
        <v>10</v>
      </c>
      <c r="N118" s="119"/>
    </row>
    <row r="119" spans="1:20" hidden="1">
      <c r="B119" s="62" t="s">
        <v>32</v>
      </c>
      <c r="E119" s="3"/>
      <c r="I119" s="3"/>
      <c r="J119" s="3"/>
      <c r="K119" s="3"/>
      <c r="L119" s="120">
        <f>L111/4</f>
        <v>1.75</v>
      </c>
      <c r="M119" s="119" t="s">
        <v>10</v>
      </c>
      <c r="N119" s="119"/>
    </row>
    <row r="120" spans="1:20" hidden="1">
      <c r="A120" s="96"/>
      <c r="B120" s="23"/>
      <c r="I120" s="4"/>
      <c r="J120" s="4" t="s">
        <v>6</v>
      </c>
      <c r="K120" s="4"/>
      <c r="L120" s="73" t="e">
        <f>SUM(L118:L119)</f>
        <v>#REF!</v>
      </c>
      <c r="M120" s="86" t="s">
        <v>10</v>
      </c>
      <c r="N120" s="86"/>
    </row>
    <row r="121" spans="1:20" hidden="1">
      <c r="B121" s="23"/>
      <c r="L121" s="34"/>
    </row>
    <row r="122" spans="1:20" ht="15" hidden="1" customHeight="1">
      <c r="B122" s="24" t="s">
        <v>11</v>
      </c>
      <c r="E122" s="3"/>
      <c r="L122" s="34"/>
      <c r="M122" s="70"/>
      <c r="N122" s="70"/>
    </row>
    <row r="123" spans="1:20" hidden="1">
      <c r="B123" s="23" t="s">
        <v>12</v>
      </c>
      <c r="L123" s="122"/>
      <c r="M123" s="119" t="s">
        <v>10</v>
      </c>
      <c r="N123" s="119"/>
    </row>
    <row r="124" spans="1:20" ht="15.5" hidden="1">
      <c r="B124" s="23" t="s">
        <v>16</v>
      </c>
      <c r="L124" s="123">
        <v>7</v>
      </c>
      <c r="M124" s="119" t="s">
        <v>10</v>
      </c>
      <c r="N124" s="119"/>
    </row>
    <row r="125" spans="1:20" ht="15.5" hidden="1">
      <c r="B125" s="25"/>
      <c r="C125" s="26"/>
      <c r="D125" s="26"/>
      <c r="E125" s="74"/>
      <c r="F125" s="74"/>
      <c r="G125" s="26"/>
      <c r="H125" s="27"/>
      <c r="I125" s="80"/>
      <c r="J125" s="80" t="s">
        <v>6</v>
      </c>
      <c r="K125" s="27"/>
      <c r="L125" s="36">
        <f>SUM(L123:L124)</f>
        <v>7</v>
      </c>
      <c r="M125" s="87" t="s">
        <v>10</v>
      </c>
      <c r="N125" s="87"/>
    </row>
    <row r="126" spans="1:20" ht="15.5" hidden="1">
      <c r="H126" s="105"/>
      <c r="I126" s="4"/>
      <c r="J126" s="4"/>
      <c r="K126" s="105"/>
      <c r="L126" s="105"/>
      <c r="M126" s="87"/>
      <c r="N126" s="87"/>
    </row>
    <row r="127" spans="1:20" ht="14.5" hidden="1">
      <c r="B127" s="20" t="s">
        <v>41</v>
      </c>
      <c r="C127"/>
      <c r="D127"/>
      <c r="E127" s="104"/>
      <c r="F127"/>
    </row>
    <row r="128" spans="1:20" ht="14.5" hidden="1">
      <c r="B128" s="107" t="s">
        <v>42</v>
      </c>
      <c r="C128" s="108"/>
      <c r="D128" s="108"/>
      <c r="E128" s="108"/>
      <c r="F128" s="108"/>
      <c r="G128" s="109"/>
      <c r="H128" s="109"/>
      <c r="I128" s="109"/>
      <c r="J128" s="109"/>
      <c r="K128" s="109"/>
      <c r="L128" s="110"/>
      <c r="R128" s="4"/>
      <c r="S128" s="4"/>
      <c r="T128" s="117">
        <f>(7.75+7.75+8.33+8.33)</f>
        <v>32.159999999999997</v>
      </c>
    </row>
    <row r="129" spans="1:14" ht="14.5" hidden="1">
      <c r="B129" s="111" t="s">
        <v>43</v>
      </c>
      <c r="C129"/>
      <c r="D129"/>
      <c r="E129"/>
      <c r="F129" s="106">
        <f>P121*1.5</f>
        <v>0</v>
      </c>
      <c r="L129" s="112">
        <f>G111*1.5</f>
        <v>3</v>
      </c>
    </row>
    <row r="130" spans="1:14" ht="14.5" hidden="1">
      <c r="B130" s="111" t="s">
        <v>44</v>
      </c>
      <c r="C130"/>
      <c r="D130"/>
      <c r="E130" s="20"/>
      <c r="F130" s="106">
        <f>(Q121+R121+S121)*3</f>
        <v>0</v>
      </c>
      <c r="L130" s="112">
        <f>(H111+I111+J111)*3</f>
        <v>15</v>
      </c>
    </row>
    <row r="131" spans="1:14" ht="14.5" hidden="1">
      <c r="B131" s="111" t="s">
        <v>45</v>
      </c>
      <c r="C131"/>
      <c r="D131"/>
      <c r="E131" s="20"/>
      <c r="F131" s="106">
        <f>(F129+F130)*0.1</f>
        <v>0</v>
      </c>
      <c r="L131" s="112">
        <f>(L129+L130)*0.1</f>
        <v>1.8</v>
      </c>
    </row>
    <row r="132" spans="1:14" ht="5.15" hidden="1" customHeight="1">
      <c r="B132" s="111"/>
      <c r="C132"/>
      <c r="D132"/>
      <c r="E132" s="20"/>
      <c r="F132" s="106"/>
      <c r="L132" s="112"/>
    </row>
    <row r="133" spans="1:14" ht="15" hidden="1" customHeight="1">
      <c r="B133" s="111"/>
      <c r="C133"/>
      <c r="D133"/>
      <c r="E133" s="20"/>
      <c r="F133" s="106"/>
      <c r="J133" s="4" t="s">
        <v>6</v>
      </c>
      <c r="K133" s="4"/>
      <c r="L133" s="116">
        <f>SUM(L129:L131)</f>
        <v>19.8</v>
      </c>
    </row>
    <row r="134" spans="1:14" ht="5.15" hidden="1" customHeight="1">
      <c r="B134" s="111"/>
      <c r="C134"/>
      <c r="D134"/>
      <c r="E134" s="20"/>
      <c r="F134" s="106"/>
      <c r="J134" s="4"/>
      <c r="K134" s="4"/>
      <c r="L134" s="117"/>
    </row>
    <row r="135" spans="1:14" ht="15" hidden="1" customHeight="1">
      <c r="B135" s="136"/>
      <c r="C135" s="126"/>
      <c r="D135" s="126"/>
      <c r="E135" s="127"/>
      <c r="F135" s="128"/>
      <c r="G135" s="129"/>
      <c r="H135" s="129"/>
      <c r="I135" s="129"/>
      <c r="J135" s="130" t="s">
        <v>11</v>
      </c>
      <c r="K135" s="130"/>
      <c r="L135" s="131">
        <v>17.97</v>
      </c>
    </row>
    <row r="136" spans="1:14" hidden="1">
      <c r="A136" s="1"/>
    </row>
    <row r="137" spans="1:14" hidden="1">
      <c r="A137" s="1"/>
    </row>
    <row r="138" spans="1:14" ht="20.149999999999999" customHeight="1">
      <c r="A138" s="1"/>
      <c r="M138" s="171" t="s">
        <v>52</v>
      </c>
      <c r="N138" s="172" t="s">
        <v>53</v>
      </c>
    </row>
    <row r="139" spans="1:14" ht="20.149999999999999" customHeight="1">
      <c r="A139" s="1"/>
      <c r="M139" s="171"/>
      <c r="N139" s="172"/>
    </row>
    <row r="140" spans="1:14" ht="20.149999999999999" customHeight="1">
      <c r="A140" s="2"/>
      <c r="B140" s="15" t="s">
        <v>39</v>
      </c>
      <c r="C140" s="45"/>
      <c r="D140" s="77" t="s">
        <v>21</v>
      </c>
      <c r="E140" s="64" t="s">
        <v>20</v>
      </c>
      <c r="F140" s="5"/>
      <c r="G140" s="67" t="s">
        <v>2</v>
      </c>
      <c r="H140" s="11" t="s">
        <v>3</v>
      </c>
      <c r="I140" s="11" t="s">
        <v>4</v>
      </c>
      <c r="J140" s="11" t="s">
        <v>25</v>
      </c>
      <c r="K140" s="46"/>
      <c r="L140" s="64" t="s">
        <v>19</v>
      </c>
    </row>
    <row r="141" spans="1:14" ht="5.15" customHeight="1">
      <c r="B141" s="3"/>
      <c r="C141" s="3"/>
      <c r="D141" s="5"/>
      <c r="F141" s="5"/>
      <c r="G141" s="5"/>
      <c r="H141" s="5"/>
      <c r="I141" s="5"/>
      <c r="J141" s="5"/>
      <c r="K141" s="3"/>
    </row>
    <row r="142" spans="1:14" ht="15" customHeight="1">
      <c r="A142" s="1"/>
      <c r="B142" s="173" t="s">
        <v>0</v>
      </c>
      <c r="D142" s="43"/>
      <c r="E142" s="170"/>
      <c r="F142" s="71"/>
      <c r="G142" s="41">
        <v>46.62</v>
      </c>
      <c r="H142" s="142">
        <v>67.37</v>
      </c>
      <c r="I142" s="141">
        <v>86.25</v>
      </c>
      <c r="J142" s="41"/>
      <c r="L142" s="175">
        <f>SUM(G142:J145)</f>
        <v>333.05</v>
      </c>
      <c r="M142" s="164" t="e">
        <f>(H142-#REF!)+('Surfaces PRO'!I142-#REF!)</f>
        <v>#REF!</v>
      </c>
      <c r="N142" s="164">
        <f>(85.87-I142)+(46.48-G142)+(67.09-H142)</f>
        <v>-0.79999999999999716</v>
      </c>
    </row>
    <row r="143" spans="1:14" ht="15" customHeight="1">
      <c r="A143" s="1"/>
      <c r="B143" s="176"/>
      <c r="D143" s="98"/>
      <c r="E143" s="170"/>
      <c r="F143" s="71"/>
      <c r="G143" s="51"/>
      <c r="H143" s="51">
        <v>66.61</v>
      </c>
      <c r="I143" s="51"/>
      <c r="J143" s="51"/>
      <c r="L143" s="175"/>
      <c r="M143" s="164" t="e">
        <f>H143-#REF!</f>
        <v>#REF!</v>
      </c>
      <c r="N143" s="164">
        <f>(66.27-H143)+(65.73-H144)</f>
        <v>-0.81000000000000227</v>
      </c>
    </row>
    <row r="144" spans="1:14" ht="15" customHeight="1">
      <c r="A144" s="1"/>
      <c r="B144" s="176"/>
      <c r="D144" s="98"/>
      <c r="E144" s="170"/>
      <c r="F144" s="71"/>
      <c r="G144" s="51"/>
      <c r="H144" s="51">
        <v>66.2</v>
      </c>
      <c r="I144" s="51"/>
      <c r="J144" s="51"/>
      <c r="L144" s="175"/>
      <c r="M144" s="164"/>
      <c r="N144" s="164"/>
    </row>
    <row r="145" spans="1:14" ht="15" customHeight="1">
      <c r="A145" s="1"/>
      <c r="B145" s="174"/>
      <c r="D145" s="44"/>
      <c r="E145" s="170"/>
      <c r="F145" s="71"/>
      <c r="G145" s="42"/>
      <c r="H145" s="42"/>
      <c r="I145" s="42"/>
      <c r="J145" s="42"/>
      <c r="L145" s="175"/>
      <c r="M145" s="164"/>
      <c r="N145" s="164"/>
    </row>
    <row r="146" spans="1:14" ht="5.15" customHeight="1">
      <c r="B146" s="39"/>
      <c r="D146" s="6"/>
      <c r="E146" s="17"/>
      <c r="F146" s="6"/>
      <c r="G146" s="28"/>
      <c r="H146" s="28"/>
      <c r="I146" s="28"/>
      <c r="J146" s="28"/>
      <c r="L146" s="40"/>
      <c r="M146" s="164"/>
      <c r="N146" s="164"/>
    </row>
    <row r="147" spans="1:14" ht="15" customHeight="1">
      <c r="A147" s="1"/>
      <c r="B147" s="173" t="s">
        <v>1</v>
      </c>
      <c r="D147" s="43"/>
      <c r="E147" s="17"/>
      <c r="F147" s="6"/>
      <c r="G147" s="41">
        <v>46.62</v>
      </c>
      <c r="H147" s="41">
        <v>67.39</v>
      </c>
      <c r="I147" s="41">
        <v>85.37</v>
      </c>
      <c r="J147" s="41"/>
      <c r="L147" s="175">
        <f>SUM(G147:J150)</f>
        <v>331.8</v>
      </c>
      <c r="M147" s="164" t="e">
        <f>(H147-#REF!)+('Surfaces PRO'!I147-#REF!)</f>
        <v>#REF!</v>
      </c>
      <c r="N147" s="164">
        <f>(84.99-I147)+(46.48-G147)+(67.11-H147)</f>
        <v>-0.80000000000001137</v>
      </c>
    </row>
    <row r="148" spans="1:14" ht="15" customHeight="1">
      <c r="A148" s="1"/>
      <c r="B148" s="176"/>
      <c r="D148" s="98"/>
      <c r="E148" s="17"/>
      <c r="F148" s="6"/>
      <c r="G148" s="51"/>
      <c r="H148" s="51">
        <v>66.42</v>
      </c>
      <c r="I148" s="51" t="s">
        <v>50</v>
      </c>
      <c r="J148" s="51"/>
      <c r="L148" s="175"/>
      <c r="M148" s="164" t="e">
        <f>H148-#REF!</f>
        <v>#REF!</v>
      </c>
      <c r="N148" s="164">
        <f>(66.09-H148)+(65.53-H149)</f>
        <v>-0.79999999999999716</v>
      </c>
    </row>
    <row r="149" spans="1:14" ht="15" customHeight="1">
      <c r="A149" s="1"/>
      <c r="B149" s="176"/>
      <c r="D149" s="98"/>
      <c r="E149" s="17"/>
      <c r="F149" s="6"/>
      <c r="G149" s="51"/>
      <c r="H149" s="51">
        <v>66</v>
      </c>
      <c r="I149" s="51"/>
      <c r="J149" s="51"/>
      <c r="L149" s="175"/>
      <c r="M149" s="164"/>
      <c r="N149" s="164"/>
    </row>
    <row r="150" spans="1:14" ht="15" customHeight="1">
      <c r="A150" s="5"/>
      <c r="B150" s="174"/>
      <c r="D150" s="44"/>
      <c r="E150" s="17"/>
      <c r="F150" s="71"/>
      <c r="G150" s="42"/>
      <c r="H150" s="42"/>
      <c r="I150" s="42"/>
      <c r="J150" s="42"/>
      <c r="L150" s="175"/>
      <c r="M150" s="164"/>
      <c r="N150" s="164"/>
    </row>
    <row r="151" spans="1:14" ht="5.15" customHeight="1">
      <c r="B151" s="39"/>
      <c r="D151" s="6"/>
      <c r="E151" s="17"/>
      <c r="F151" s="6"/>
      <c r="G151" s="28"/>
      <c r="H151" s="28"/>
      <c r="I151" s="28"/>
      <c r="J151" s="28"/>
      <c r="L151" s="40"/>
      <c r="M151" s="164"/>
      <c r="N151" s="164"/>
    </row>
    <row r="152" spans="1:14" ht="15" customHeight="1">
      <c r="A152" s="1"/>
      <c r="B152" s="173" t="s">
        <v>23</v>
      </c>
      <c r="D152" s="43"/>
      <c r="E152" s="17"/>
      <c r="F152" s="6"/>
      <c r="G152" s="41"/>
      <c r="H152" s="41"/>
      <c r="I152" s="41">
        <v>84.75</v>
      </c>
      <c r="J152" s="41"/>
      <c r="L152" s="175">
        <f>SUM(G152:J153)</f>
        <v>172.51</v>
      </c>
      <c r="M152" s="164" t="e">
        <f>'Surfaces PRO'!I152-#REF!</f>
        <v>#REF!</v>
      </c>
      <c r="N152" s="164">
        <f>84.19-I152</f>
        <v>-0.56000000000000227</v>
      </c>
    </row>
    <row r="153" spans="1:14" ht="15" customHeight="1">
      <c r="A153" s="5"/>
      <c r="B153" s="174"/>
      <c r="D153" s="44"/>
      <c r="E153" s="17"/>
      <c r="F153" s="71"/>
      <c r="G153" s="42"/>
      <c r="H153" s="42"/>
      <c r="I153" s="42">
        <v>87.76</v>
      </c>
      <c r="J153" s="42"/>
      <c r="L153" s="175"/>
      <c r="M153" s="164" t="e">
        <f>I153-#REF!</f>
        <v>#REF!</v>
      </c>
      <c r="N153" s="164">
        <f>87.26-I153</f>
        <v>-0.5</v>
      </c>
    </row>
    <row r="154" spans="1:14" ht="5.15" customHeight="1" thickBot="1">
      <c r="A154" s="5"/>
      <c r="B154" s="39"/>
      <c r="D154" s="6"/>
      <c r="E154" s="17"/>
      <c r="F154" s="6"/>
      <c r="G154" s="28"/>
      <c r="H154" s="28"/>
      <c r="I154" s="28"/>
      <c r="J154" s="28"/>
      <c r="L154" s="40"/>
      <c r="M154" s="169"/>
      <c r="N154" s="167"/>
    </row>
    <row r="155" spans="1:14" ht="15" customHeight="1" thickTop="1">
      <c r="A155" s="5"/>
      <c r="B155" s="5"/>
      <c r="D155" s="6"/>
      <c r="E155" s="17"/>
      <c r="F155" s="6"/>
      <c r="G155" s="28"/>
      <c r="H155" s="28"/>
      <c r="I155" s="28"/>
      <c r="J155" s="28"/>
      <c r="L155" s="40"/>
      <c r="M155" s="168" t="e">
        <f>M152+M153</f>
        <v>#REF!</v>
      </c>
      <c r="N155" s="168">
        <f>N152+N153</f>
        <v>-1.0600000000000023</v>
      </c>
    </row>
    <row r="156" spans="1:14" ht="16.5" customHeight="1">
      <c r="A156" s="50"/>
      <c r="D156" s="89">
        <f>COUNT(D142:D154)</f>
        <v>0</v>
      </c>
      <c r="E156" s="69" t="s">
        <v>21</v>
      </c>
      <c r="F156" s="7"/>
      <c r="G156" s="29">
        <f>COUNT(G142:G154)</f>
        <v>2</v>
      </c>
      <c r="H156" s="29">
        <f>COUNT(H142:H154)</f>
        <v>6</v>
      </c>
      <c r="I156" s="68">
        <f>COUNT(I142:I154)</f>
        <v>4</v>
      </c>
      <c r="J156" s="68">
        <f>COUNT(J142:J154)</f>
        <v>0</v>
      </c>
      <c r="L156" s="21">
        <f>SUM(G156:J156)</f>
        <v>12</v>
      </c>
      <c r="M156" s="70" t="s">
        <v>14</v>
      </c>
      <c r="N156" s="70"/>
    </row>
    <row r="157" spans="1:14" ht="5.15" customHeight="1">
      <c r="D157" s="6"/>
      <c r="F157" s="6"/>
      <c r="G157" s="6"/>
      <c r="H157" s="6"/>
      <c r="I157" s="6"/>
      <c r="J157" s="6"/>
      <c r="L157" s="22"/>
    </row>
    <row r="158" spans="1:14">
      <c r="D158" s="49">
        <f>SUM(D142:D154)</f>
        <v>0</v>
      </c>
      <c r="E158" s="3" t="s">
        <v>22</v>
      </c>
      <c r="K158" s="30"/>
      <c r="L158" s="148">
        <f>SUM(L142:L154)</f>
        <v>837.36</v>
      </c>
      <c r="M158" s="70" t="s">
        <v>8</v>
      </c>
      <c r="N158" s="70"/>
    </row>
    <row r="159" spans="1:14" ht="5.15" customHeight="1">
      <c r="E159" s="18"/>
      <c r="I159" s="18"/>
      <c r="J159" s="18"/>
      <c r="K159" s="18"/>
      <c r="L159" s="158"/>
      <c r="M159" s="84"/>
      <c r="N159" s="84"/>
    </row>
    <row r="160" spans="1:14">
      <c r="G160" s="7"/>
      <c r="H160" s="9" t="s">
        <v>24</v>
      </c>
      <c r="I160" s="90" t="e">
        <f>L158/L160</f>
        <v>#REF!</v>
      </c>
      <c r="J160" s="90"/>
      <c r="L160" s="149" t="e">
        <f>#REF!+#REF!+#REF!</f>
        <v>#REF!</v>
      </c>
      <c r="M160" s="70" t="s">
        <v>13</v>
      </c>
      <c r="N160" s="70"/>
    </row>
    <row r="161" spans="1:14" ht="5.15" customHeight="1">
      <c r="A161" s="1"/>
      <c r="G161" s="7"/>
      <c r="H161" s="9"/>
      <c r="I161" s="90"/>
      <c r="J161" s="90"/>
      <c r="L161" s="47"/>
      <c r="M161" s="70"/>
      <c r="N161" s="70"/>
    </row>
    <row r="162" spans="1:14" ht="20.149999999999999" hidden="1" customHeight="1">
      <c r="B162" s="38" t="s">
        <v>15</v>
      </c>
      <c r="C162" s="37"/>
      <c r="D162" s="37"/>
      <c r="F162" s="66"/>
      <c r="G162" s="37"/>
      <c r="H162" s="37"/>
      <c r="I162" s="37"/>
      <c r="J162" s="37"/>
      <c r="K162" s="37"/>
      <c r="L162" s="37"/>
    </row>
    <row r="163" spans="1:14" hidden="1">
      <c r="B163" s="62" t="s">
        <v>31</v>
      </c>
      <c r="E163" s="3"/>
      <c r="I163" s="3"/>
      <c r="J163" s="3"/>
      <c r="K163" s="3"/>
      <c r="L163" s="63" t="e">
        <f>L160/50</f>
        <v>#REF!</v>
      </c>
      <c r="M163" s="70" t="s">
        <v>10</v>
      </c>
      <c r="N163" s="70"/>
    </row>
    <row r="164" spans="1:14" hidden="1">
      <c r="B164" s="62" t="s">
        <v>32</v>
      </c>
      <c r="E164" s="3"/>
      <c r="I164" s="3"/>
      <c r="J164" s="3"/>
      <c r="K164" s="3"/>
      <c r="L164" s="63">
        <f>L156/4</f>
        <v>3</v>
      </c>
      <c r="M164" s="70" t="s">
        <v>10</v>
      </c>
      <c r="N164" s="70"/>
    </row>
    <row r="165" spans="1:14" hidden="1">
      <c r="A165" s="96"/>
      <c r="B165" s="23"/>
      <c r="I165" s="4"/>
      <c r="J165" s="4" t="s">
        <v>6</v>
      </c>
      <c r="K165" s="4"/>
      <c r="L165" s="73" t="e">
        <f>SUM(L163:L164)</f>
        <v>#REF!</v>
      </c>
      <c r="M165" s="86" t="s">
        <v>10</v>
      </c>
      <c r="N165" s="86"/>
    </row>
    <row r="166" spans="1:14" hidden="1">
      <c r="B166" s="23"/>
      <c r="L166" s="34"/>
    </row>
    <row r="167" spans="1:14" ht="15" hidden="1" customHeight="1">
      <c r="B167" s="24" t="s">
        <v>11</v>
      </c>
      <c r="E167" s="3"/>
      <c r="L167" s="34"/>
      <c r="M167" s="70"/>
      <c r="N167" s="70"/>
    </row>
    <row r="168" spans="1:14" hidden="1">
      <c r="B168" s="23" t="s">
        <v>12</v>
      </c>
      <c r="L168" s="35"/>
      <c r="M168" s="70" t="s">
        <v>10</v>
      </c>
      <c r="N168" s="70"/>
    </row>
    <row r="169" spans="1:14" hidden="1">
      <c r="B169" s="23" t="s">
        <v>16</v>
      </c>
      <c r="L169" s="35">
        <v>6</v>
      </c>
      <c r="M169" s="70" t="s">
        <v>10</v>
      </c>
      <c r="N169" s="70"/>
    </row>
    <row r="170" spans="1:14" ht="15.5" hidden="1">
      <c r="B170" s="25"/>
      <c r="C170" s="26"/>
      <c r="D170" s="26"/>
      <c r="E170" s="74"/>
      <c r="F170" s="74"/>
      <c r="G170" s="26"/>
      <c r="H170" s="27"/>
      <c r="I170" s="80"/>
      <c r="J170" s="80" t="s">
        <v>6</v>
      </c>
      <c r="K170" s="27"/>
      <c r="L170" s="36">
        <f>SUM(L168:L169)</f>
        <v>6</v>
      </c>
      <c r="M170" s="87" t="s">
        <v>10</v>
      </c>
      <c r="N170" s="87"/>
    </row>
    <row r="171" spans="1:14" ht="15.5" hidden="1">
      <c r="H171" s="105"/>
      <c r="I171" s="4"/>
      <c r="J171" s="4"/>
      <c r="K171" s="105"/>
      <c r="L171" s="105"/>
      <c r="M171" s="87"/>
      <c r="N171" s="87"/>
    </row>
    <row r="172" spans="1:14" ht="14.5" hidden="1">
      <c r="B172" s="20" t="s">
        <v>41</v>
      </c>
      <c r="C172"/>
      <c r="D172"/>
      <c r="E172" s="104"/>
      <c r="F172"/>
    </row>
    <row r="173" spans="1:14" ht="14.5" hidden="1">
      <c r="B173" s="107" t="s">
        <v>42</v>
      </c>
      <c r="C173" s="108"/>
      <c r="D173" s="108"/>
      <c r="E173" s="108"/>
      <c r="F173" s="108"/>
      <c r="G173" s="109"/>
      <c r="H173" s="109"/>
      <c r="I173" s="109"/>
      <c r="J173" s="109"/>
      <c r="K173" s="109"/>
      <c r="L173" s="110"/>
    </row>
    <row r="174" spans="1:14" ht="14.5" hidden="1">
      <c r="B174" s="111" t="s">
        <v>43</v>
      </c>
      <c r="C174"/>
      <c r="D174"/>
      <c r="E174"/>
      <c r="F174" s="106">
        <f>P166*1.5</f>
        <v>0</v>
      </c>
      <c r="L174" s="112">
        <f>G156*1.5</f>
        <v>3</v>
      </c>
    </row>
    <row r="175" spans="1:14" ht="14.5" hidden="1">
      <c r="B175" s="111" t="s">
        <v>44</v>
      </c>
      <c r="C175"/>
      <c r="D175"/>
      <c r="E175" s="20"/>
      <c r="F175" s="106">
        <f>(Q166+R166+S166)*3</f>
        <v>0</v>
      </c>
      <c r="L175" s="112">
        <f>(H156+I156+J156)*3</f>
        <v>30</v>
      </c>
    </row>
    <row r="176" spans="1:14" ht="14.5" hidden="1">
      <c r="B176" s="111" t="s">
        <v>45</v>
      </c>
      <c r="C176"/>
      <c r="D176"/>
      <c r="E176" s="20"/>
      <c r="F176" s="106">
        <f>(F174+F175)*0.1</f>
        <v>0</v>
      </c>
      <c r="L176" s="112">
        <f>(L174+L175)*0.1</f>
        <v>3.3000000000000003</v>
      </c>
    </row>
    <row r="177" spans="1:14" ht="5.15" hidden="1" customHeight="1">
      <c r="B177" s="111"/>
      <c r="C177"/>
      <c r="D177"/>
      <c r="E177" s="20"/>
      <c r="F177" s="106"/>
      <c r="L177" s="112"/>
    </row>
    <row r="178" spans="1:14" ht="15" hidden="1" customHeight="1">
      <c r="B178" s="111"/>
      <c r="C178"/>
      <c r="D178"/>
      <c r="E178" s="20"/>
      <c r="F178" s="106"/>
      <c r="J178" s="4" t="s">
        <v>6</v>
      </c>
      <c r="K178" s="4"/>
      <c r="L178" s="116">
        <f>SUM(L174:L176)</f>
        <v>36.299999999999997</v>
      </c>
    </row>
    <row r="179" spans="1:14" ht="5.15" hidden="1" customHeight="1">
      <c r="B179" s="111"/>
      <c r="C179"/>
      <c r="D179"/>
      <c r="E179" s="20"/>
      <c r="F179" s="106"/>
      <c r="L179" s="137"/>
    </row>
    <row r="180" spans="1:14" ht="14.5" hidden="1">
      <c r="B180" s="25"/>
      <c r="C180" s="113"/>
      <c r="D180" s="113"/>
      <c r="E180" s="114"/>
      <c r="F180" s="115">
        <f>SUM(F174:F176)</f>
        <v>0</v>
      </c>
      <c r="G180" s="26"/>
      <c r="H180" s="26"/>
      <c r="I180" s="26"/>
      <c r="J180" s="130" t="s">
        <v>11</v>
      </c>
      <c r="K180" s="130"/>
      <c r="L180" s="131">
        <v>35.979999999999997</v>
      </c>
    </row>
    <row r="181" spans="1:14" hidden="1">
      <c r="A181" s="1"/>
    </row>
    <row r="182" spans="1:14" hidden="1">
      <c r="A182" s="1"/>
    </row>
    <row r="183" spans="1:14">
      <c r="G183" s="7"/>
      <c r="H183" s="9"/>
      <c r="L183" s="47"/>
    </row>
    <row r="184" spans="1:14">
      <c r="G184" s="7"/>
      <c r="H184" s="9"/>
      <c r="L184" s="47"/>
    </row>
    <row r="185" spans="1:14" ht="20.149999999999999" customHeight="1">
      <c r="B185" s="15" t="s">
        <v>6</v>
      </c>
      <c r="C185" s="13"/>
      <c r="D185" s="78" t="s">
        <v>40</v>
      </c>
      <c r="E185" s="13"/>
      <c r="F185" s="13"/>
      <c r="G185" s="13" t="s">
        <v>2</v>
      </c>
      <c r="H185" s="13" t="s">
        <v>3</v>
      </c>
      <c r="I185" s="13" t="s">
        <v>4</v>
      </c>
      <c r="J185" s="13" t="s">
        <v>25</v>
      </c>
      <c r="K185" s="13"/>
      <c r="L185" s="14"/>
    </row>
    <row r="186" spans="1:14">
      <c r="F186" s="48"/>
      <c r="G186" s="48" t="e">
        <f>G14+G70+G53+G111+G156+#REF!</f>
        <v>#REF!</v>
      </c>
      <c r="H186" s="48" t="e">
        <f>H14+H70+H53+H111+H156+#REF!</f>
        <v>#REF!</v>
      </c>
      <c r="I186" s="48" t="e">
        <f>I14+I70+I53+I111+I156+#REF!</f>
        <v>#REF!</v>
      </c>
      <c r="J186" s="48">
        <f>J14+J70+J53+J111+J156</f>
        <v>3</v>
      </c>
      <c r="K186" s="7"/>
      <c r="L186" s="8" t="e">
        <f>SUM(G186:J186)</f>
        <v>#REF!</v>
      </c>
      <c r="M186" s="70" t="s">
        <v>7</v>
      </c>
      <c r="N186" s="70"/>
    </row>
    <row r="187" spans="1:14">
      <c r="D187" s="12"/>
      <c r="F187" s="12"/>
      <c r="G187" s="12" t="e">
        <f>G186/$L$186</f>
        <v>#REF!</v>
      </c>
      <c r="H187" s="12" t="e">
        <f t="shared" ref="H187:J187" si="0">H186/$L$186</f>
        <v>#REF!</v>
      </c>
      <c r="I187" s="12" t="e">
        <f t="shared" si="0"/>
        <v>#REF!</v>
      </c>
      <c r="J187" s="12" t="e">
        <f t="shared" si="0"/>
        <v>#REF!</v>
      </c>
      <c r="K187" s="12"/>
    </row>
    <row r="188" spans="1:14">
      <c r="D188" s="79"/>
      <c r="E188" s="70"/>
      <c r="L188" s="159">
        <f>L16+L72+L55+L113+L158</f>
        <v>3312.94</v>
      </c>
      <c r="M188" s="70" t="s">
        <v>9</v>
      </c>
      <c r="N188" s="70"/>
    </row>
    <row r="189" spans="1:14">
      <c r="D189" s="138"/>
      <c r="E189" s="3"/>
      <c r="I189" s="97" t="s">
        <v>24</v>
      </c>
      <c r="J189" s="90" t="e">
        <f>L188/L189</f>
        <v>#REF!</v>
      </c>
      <c r="L189" s="159" t="e">
        <f>L18+L74+L57+L115+L160</f>
        <v>#REF!</v>
      </c>
      <c r="M189" s="70" t="s">
        <v>13</v>
      </c>
      <c r="N189" s="70"/>
    </row>
    <row r="190" spans="1:14">
      <c r="B190" s="143" t="s">
        <v>6</v>
      </c>
      <c r="C190" s="144"/>
      <c r="D190" s="145" t="s">
        <v>48</v>
      </c>
      <c r="E190" s="144"/>
      <c r="F190" s="144"/>
      <c r="G190" s="144" t="s">
        <v>2</v>
      </c>
      <c r="H190" s="144" t="s">
        <v>3</v>
      </c>
      <c r="I190" s="144" t="s">
        <v>4</v>
      </c>
      <c r="J190" s="144" t="s">
        <v>25</v>
      </c>
      <c r="K190" s="144"/>
      <c r="L190" s="146"/>
    </row>
    <row r="191" spans="1:14">
      <c r="D191" s="79"/>
      <c r="E191" s="70"/>
      <c r="L191" s="160" t="e">
        <f>L188+#REF!</f>
        <v>#REF!</v>
      </c>
      <c r="M191" s="92" t="s">
        <v>9</v>
      </c>
      <c r="N191" s="92"/>
    </row>
    <row r="192" spans="1:14">
      <c r="D192" s="138"/>
      <c r="E192" s="3"/>
      <c r="I192" s="97" t="s">
        <v>24</v>
      </c>
      <c r="J192" s="147" t="e">
        <f>L191/L192</f>
        <v>#REF!</v>
      </c>
      <c r="L192" s="160" t="e">
        <f>L189+#REF!</f>
        <v>#REF!</v>
      </c>
      <c r="M192" s="92" t="s">
        <v>13</v>
      </c>
      <c r="N192" s="92"/>
    </row>
    <row r="193" spans="1:14">
      <c r="D193" s="3"/>
      <c r="F193" s="3"/>
      <c r="G193" s="6"/>
      <c r="H193" s="6"/>
      <c r="I193" s="10"/>
      <c r="J193" s="10"/>
      <c r="K193" s="6"/>
      <c r="L193" s="6"/>
    </row>
    <row r="194" spans="1:14" ht="20.149999999999999" customHeight="1">
      <c r="B194" s="93" t="s">
        <v>18</v>
      </c>
      <c r="C194" s="94"/>
      <c r="D194" s="94"/>
      <c r="E194" s="52"/>
      <c r="F194" s="59"/>
      <c r="G194" s="52" t="s">
        <v>2</v>
      </c>
      <c r="H194" s="52" t="s">
        <v>3</v>
      </c>
      <c r="I194" s="52" t="s">
        <v>4</v>
      </c>
      <c r="J194" s="52" t="s">
        <v>25</v>
      </c>
      <c r="K194" s="52"/>
      <c r="L194" s="53"/>
    </row>
    <row r="195" spans="1:14">
      <c r="D195" s="54"/>
      <c r="F195" s="54"/>
      <c r="G195" s="60">
        <f>G61</f>
        <v>49.02</v>
      </c>
      <c r="H195" s="60">
        <f>H61</f>
        <v>67.97</v>
      </c>
      <c r="I195" s="60">
        <f>I61</f>
        <v>86.02</v>
      </c>
      <c r="J195" s="60"/>
      <c r="K195" s="54"/>
      <c r="L195" s="55"/>
    </row>
    <row r="196" spans="1:14">
      <c r="D196" s="54"/>
      <c r="F196" s="54"/>
      <c r="G196" s="60">
        <f>G64</f>
        <v>49.41</v>
      </c>
      <c r="H196" s="60">
        <f>H64</f>
        <v>67.959999999999994</v>
      </c>
      <c r="I196" s="60">
        <f>I64</f>
        <v>85.58</v>
      </c>
      <c r="J196" s="60"/>
      <c r="K196" s="54"/>
      <c r="L196" s="55"/>
      <c r="M196" s="85"/>
      <c r="N196" s="85"/>
    </row>
    <row r="197" spans="1:14">
      <c r="D197" s="54"/>
      <c r="F197" s="54"/>
      <c r="G197" s="60"/>
      <c r="H197" s="60">
        <f>H142</f>
        <v>67.37</v>
      </c>
      <c r="I197" s="60">
        <f>I67</f>
        <v>90.14</v>
      </c>
      <c r="J197" s="60"/>
      <c r="K197" s="54"/>
      <c r="L197" s="55"/>
      <c r="M197" s="85"/>
      <c r="N197" s="85"/>
    </row>
    <row r="198" spans="1:14">
      <c r="D198" s="54"/>
      <c r="F198" s="54"/>
      <c r="G198" s="60"/>
      <c r="H198" s="60"/>
      <c r="I198" s="60"/>
      <c r="J198" s="60">
        <f>J68</f>
        <v>96.48</v>
      </c>
      <c r="K198" s="54"/>
      <c r="L198" s="55"/>
      <c r="M198" s="85"/>
      <c r="N198" s="85"/>
    </row>
    <row r="199" spans="1:14" ht="18" customHeight="1">
      <c r="D199" s="54"/>
      <c r="F199" s="54"/>
      <c r="G199" s="60"/>
      <c r="H199" s="60"/>
      <c r="I199" s="60">
        <f>I142</f>
        <v>86.25</v>
      </c>
      <c r="J199" s="60"/>
      <c r="K199" s="54"/>
      <c r="L199" s="55"/>
      <c r="M199" s="85"/>
      <c r="N199" s="85"/>
    </row>
    <row r="200" spans="1:14" ht="5.15" customHeight="1" thickBot="1">
      <c r="D200" s="54"/>
      <c r="F200" s="54"/>
      <c r="G200" s="60"/>
      <c r="H200" s="60"/>
      <c r="I200" s="60"/>
      <c r="J200" s="60"/>
      <c r="K200" s="54"/>
      <c r="L200" s="55"/>
    </row>
    <row r="201" spans="1:14" ht="14.5" thickBot="1">
      <c r="D201" s="65"/>
      <c r="E201" s="72" t="e">
        <f>L201/(L186+#REF!)</f>
        <v>#REF!</v>
      </c>
      <c r="F201" s="65"/>
      <c r="G201" s="61">
        <f>COUNT(G195:G200)</f>
        <v>2</v>
      </c>
      <c r="H201" s="61">
        <f>COUNT(H195:H200)</f>
        <v>3</v>
      </c>
      <c r="I201" s="61">
        <f>COUNT(I195:I200)</f>
        <v>4</v>
      </c>
      <c r="J201" s="61">
        <f>COUNT(J195:J200)</f>
        <v>1</v>
      </c>
      <c r="K201" s="54"/>
      <c r="L201" s="58">
        <f>SUM(G201:J201)</f>
        <v>10</v>
      </c>
      <c r="M201" s="85" t="s">
        <v>7</v>
      </c>
      <c r="N201" s="85"/>
    </row>
    <row r="202" spans="1:14">
      <c r="D202" s="57"/>
      <c r="F202" s="57"/>
      <c r="G202" s="57">
        <f>(COUNT(G195:G199))/$L$201</f>
        <v>0.2</v>
      </c>
      <c r="H202" s="57">
        <f>(COUNT(H195:H199))/$L$201</f>
        <v>0.3</v>
      </c>
      <c r="I202" s="57">
        <f>(COUNT(I195:I199))/$L$201</f>
        <v>0.4</v>
      </c>
      <c r="J202" s="57">
        <f>(COUNT(J195:J199))/$L$201</f>
        <v>0.1</v>
      </c>
      <c r="K202" s="57">
        <f>K195/L201</f>
        <v>0</v>
      </c>
      <c r="M202" s="85"/>
      <c r="N202" s="85"/>
    </row>
    <row r="203" spans="1:14">
      <c r="L203" s="81">
        <f>SUM(G195:J200)</f>
        <v>746.2</v>
      </c>
      <c r="M203" s="85" t="s">
        <v>9</v>
      </c>
      <c r="N203" s="85"/>
    </row>
    <row r="204" spans="1:14">
      <c r="A204" s="55" t="s">
        <v>49</v>
      </c>
      <c r="B204" s="58" t="e">
        <f>L192*0.2</f>
        <v>#REF!</v>
      </c>
      <c r="C204" s="84"/>
      <c r="D204" s="85" t="s">
        <v>13</v>
      </c>
      <c r="E204" s="72" t="e">
        <f>L204/(L189+#REF!)</f>
        <v>#REF!</v>
      </c>
      <c r="I204" s="9" t="s">
        <v>24</v>
      </c>
      <c r="J204" s="124" t="e">
        <f>L203/L204</f>
        <v>#REF!</v>
      </c>
      <c r="L204" s="58" t="e">
        <f>(178.88*0.9)+#REF!+#REF!+#REF!</f>
        <v>#REF!</v>
      </c>
      <c r="M204" s="85" t="s">
        <v>13</v>
      </c>
      <c r="N204" s="85"/>
    </row>
    <row r="205" spans="1:14" ht="5.15" customHeight="1">
      <c r="L205" s="47"/>
      <c r="M205" s="70"/>
      <c r="N205" s="70"/>
    </row>
    <row r="206" spans="1:14" ht="14.5">
      <c r="E206" s="20"/>
      <c r="M206" s="88"/>
      <c r="N206" s="88"/>
    </row>
  </sheetData>
  <mergeCells count="39">
    <mergeCell ref="B8:B9"/>
    <mergeCell ref="L8:L9"/>
    <mergeCell ref="B5:B6"/>
    <mergeCell ref="E5:E6"/>
    <mergeCell ref="L5:L6"/>
    <mergeCell ref="B44:B45"/>
    <mergeCell ref="E44:E45"/>
    <mergeCell ref="L44:L45"/>
    <mergeCell ref="B11:B12"/>
    <mergeCell ref="L11:L12"/>
    <mergeCell ref="B50:B51"/>
    <mergeCell ref="L50:L51"/>
    <mergeCell ref="B47:B48"/>
    <mergeCell ref="L47:L48"/>
    <mergeCell ref="B64:B65"/>
    <mergeCell ref="L64:L65"/>
    <mergeCell ref="B61:B62"/>
    <mergeCell ref="E61:E62"/>
    <mergeCell ref="L61:L62"/>
    <mergeCell ref="B101:B102"/>
    <mergeCell ref="E101:E102"/>
    <mergeCell ref="L101:L102"/>
    <mergeCell ref="M97:M98"/>
    <mergeCell ref="B67:B68"/>
    <mergeCell ref="L67:L68"/>
    <mergeCell ref="N97:N98"/>
    <mergeCell ref="E142:E145"/>
    <mergeCell ref="L142:L145"/>
    <mergeCell ref="B107:B108"/>
    <mergeCell ref="L107:L108"/>
    <mergeCell ref="B104:B105"/>
    <mergeCell ref="L104:L105"/>
    <mergeCell ref="M138:M139"/>
    <mergeCell ref="N138:N139"/>
    <mergeCell ref="B152:B153"/>
    <mergeCell ref="L152:L153"/>
    <mergeCell ref="B147:B150"/>
    <mergeCell ref="L147:L150"/>
    <mergeCell ref="B142:B145"/>
  </mergeCells>
  <pageMargins left="0" right="0" top="0" bottom="0" header="0" footer="0"/>
  <pageSetup paperSize="9" fitToWidth="0" orientation="landscape" horizontalDpi="1200" verticalDpi="1200" r:id="rId1"/>
  <rowBreaks count="3" manualBreakCount="3">
    <brk id="40" max="16383" man="1"/>
    <brk id="137" max="16383" man="1"/>
    <brk id="1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Surfaces PRO</vt:lpstr>
      <vt:lpstr>'Surfaces PRO'!Zone_d_impression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YCharles</dc:creator>
  <cp:lastModifiedBy>BOGEY FABIEN</cp:lastModifiedBy>
  <cp:lastPrinted>2026-01-06T10:11:03Z</cp:lastPrinted>
  <dcterms:created xsi:type="dcterms:W3CDTF">2012-04-13T07:41:52Z</dcterms:created>
  <dcterms:modified xsi:type="dcterms:W3CDTF">2026-03-22T20:13:45Z</dcterms:modified>
</cp:coreProperties>
</file>